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nric\Desktop\GESTIONE ATTIVITA'\"/>
    </mc:Choice>
  </mc:AlternateContent>
  <xr:revisionPtr revIDLastSave="0" documentId="13_ncr:1_{E6E38151-0F93-461B-AF32-804802395D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BOARD" sheetId="10" r:id="rId1"/>
    <sheet name="Ordini" sheetId="1" r:id="rId2"/>
    <sheet name="Prodotti Magazzino" sheetId="2" r:id="rId3"/>
    <sheet name="Colonne dati" sheetId="4" state="hidden" r:id="rId4"/>
    <sheet name="Carichi" sheetId="6" r:id="rId5"/>
    <sheet name="Logistica" sheetId="3" r:id="rId6"/>
    <sheet name="Prodotti drop" sheetId="5" r:id="rId7"/>
  </sheets>
  <definedNames>
    <definedName name="_xlnm._FilterDatabase" localSheetId="4" hidden="1">Carichi!$A$1:$C$1</definedName>
    <definedName name="_xlnm._FilterDatabase" localSheetId="5" hidden="1">Logistica!$A$1:$E$125</definedName>
    <definedName name="_xlnm._FilterDatabase" localSheetId="1" hidden="1">Ordini!$A$1:$Q$590</definedName>
    <definedName name="_xlnm._FilterDatabase" localSheetId="6" hidden="1">'Prodotti drop'!$A$1:$B$83</definedName>
    <definedName name="_xlnm._FilterDatabase" localSheetId="2" hidden="1">'Prodotti Magazzino'!$A$1:$Q$46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4" i="5" l="1"/>
  <c r="B93" i="5"/>
  <c r="B91" i="5"/>
  <c r="B90" i="5"/>
  <c r="K537" i="1" a="1"/>
  <c r="K537" i="1" s="1"/>
  <c r="L564" i="1" a="1"/>
  <c r="L564" i="1" s="1"/>
  <c r="K564" i="1" a="1"/>
  <c r="K564" i="1" s="1"/>
  <c r="I564" i="1"/>
  <c r="L537" i="1" a="1"/>
  <c r="L537" i="1" s="1"/>
  <c r="I537" i="1"/>
  <c r="L590" i="1" a="1"/>
  <c r="L590" i="1" s="1"/>
  <c r="K590" i="1" a="1"/>
  <c r="K590" i="1" s="1"/>
  <c r="J590" i="1"/>
  <c r="I590" i="1"/>
  <c r="L580" i="1" a="1"/>
  <c r="L580" i="1" s="1"/>
  <c r="K580" i="1" a="1"/>
  <c r="K580" i="1" s="1"/>
  <c r="I580" i="1"/>
  <c r="J576" i="1"/>
  <c r="I576" i="1"/>
  <c r="L576" i="1" a="1"/>
  <c r="L576" i="1" s="1"/>
  <c r="K576" i="1" a="1"/>
  <c r="K576" i="1" s="1"/>
  <c r="B88" i="5"/>
  <c r="L559" i="1" a="1"/>
  <c r="L559" i="1" s="1"/>
  <c r="K559" i="1" a="1"/>
  <c r="K559" i="1" s="1"/>
  <c r="J559" i="1"/>
  <c r="I559" i="1"/>
  <c r="L533" i="1" a="1"/>
  <c r="L533" i="1" s="1"/>
  <c r="O533" i="1" s="1"/>
  <c r="P533" i="1" s="1"/>
  <c r="Q533" i="1" s="1"/>
  <c r="D125" i="3"/>
  <c r="C125" i="3"/>
  <c r="D23" i="3"/>
  <c r="C23" i="3"/>
  <c r="D101" i="3"/>
  <c r="C101" i="3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4" i="1" a="1"/>
  <c r="L534" i="1" s="1"/>
  <c r="L535" i="1" a="1"/>
  <c r="L535" i="1" s="1"/>
  <c r="L536" i="1" a="1"/>
  <c r="L536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60" i="1" a="1"/>
  <c r="L560" i="1" s="1"/>
  <c r="L561" i="1" a="1"/>
  <c r="L561" i="1" s="1"/>
  <c r="L562" i="1" a="1"/>
  <c r="L562" i="1" s="1"/>
  <c r="L563" i="1" a="1"/>
  <c r="L563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7" i="1" a="1"/>
  <c r="L577" i="1" s="1"/>
  <c r="L578" i="1" a="1"/>
  <c r="L578" i="1" s="1"/>
  <c r="L579" i="1" a="1"/>
  <c r="L579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K589" i="1" a="1"/>
  <c r="K589" i="1" s="1"/>
  <c r="K588" i="1" a="1"/>
  <c r="K588" i="1" s="1"/>
  <c r="K587" i="1" a="1"/>
  <c r="K587" i="1" s="1"/>
  <c r="K586" i="1" a="1"/>
  <c r="K586" i="1" s="1"/>
  <c r="K585" i="1" a="1"/>
  <c r="K585" i="1" s="1"/>
  <c r="K584" i="1" a="1"/>
  <c r="K584" i="1" s="1"/>
  <c r="K583" i="1" a="1"/>
  <c r="K583" i="1" s="1"/>
  <c r="K582" i="1" a="1"/>
  <c r="K582" i="1" s="1"/>
  <c r="K581" i="1" a="1"/>
  <c r="K581" i="1" s="1"/>
  <c r="K578" i="1" a="1"/>
  <c r="K578" i="1" s="1"/>
  <c r="K577" i="1" a="1"/>
  <c r="K577" i="1" s="1"/>
  <c r="K575" i="1" a="1"/>
  <c r="K575" i="1" s="1"/>
  <c r="K574" i="1" a="1"/>
  <c r="K574" i="1" s="1"/>
  <c r="K573" i="1" a="1"/>
  <c r="K573" i="1" s="1"/>
  <c r="K572" i="1" a="1"/>
  <c r="K572" i="1" s="1"/>
  <c r="K571" i="1" a="1"/>
  <c r="K571" i="1" s="1"/>
  <c r="K570" i="1" a="1"/>
  <c r="K570" i="1" s="1"/>
  <c r="K569" i="1" a="1"/>
  <c r="K569" i="1" s="1"/>
  <c r="K568" i="1" a="1"/>
  <c r="K568" i="1" s="1"/>
  <c r="K567" i="1" a="1"/>
  <c r="K567" i="1" s="1"/>
  <c r="K566" i="1" a="1"/>
  <c r="K566" i="1" s="1"/>
  <c r="K565" i="1" a="1"/>
  <c r="K565" i="1" s="1"/>
  <c r="K563" i="1" a="1"/>
  <c r="K563" i="1" s="1"/>
  <c r="K561" i="1" a="1"/>
  <c r="K561" i="1" s="1"/>
  <c r="K560" i="1" a="1"/>
  <c r="K560" i="1" s="1"/>
  <c r="K558" i="1" a="1"/>
  <c r="K558" i="1" s="1"/>
  <c r="K557" i="1" a="1"/>
  <c r="K557" i="1" s="1"/>
  <c r="K556" i="1" a="1"/>
  <c r="K556" i="1" s="1"/>
  <c r="K555" i="1" a="1"/>
  <c r="K555" i="1" s="1"/>
  <c r="K554" i="1" a="1"/>
  <c r="K554" i="1" s="1"/>
  <c r="K553" i="1" a="1"/>
  <c r="K553" i="1" s="1"/>
  <c r="K552" i="1" a="1"/>
  <c r="K552" i="1" s="1"/>
  <c r="K551" i="1" a="1"/>
  <c r="K551" i="1" s="1"/>
  <c r="K550" i="1" a="1"/>
  <c r="K550" i="1" s="1"/>
  <c r="K549" i="1" a="1"/>
  <c r="K549" i="1" s="1"/>
  <c r="K548" i="1" a="1"/>
  <c r="K548" i="1" s="1"/>
  <c r="K547" i="1" a="1"/>
  <c r="K547" i="1" s="1"/>
  <c r="K546" i="1" a="1"/>
  <c r="K546" i="1" s="1"/>
  <c r="K545" i="1" a="1"/>
  <c r="K545" i="1" s="1"/>
  <c r="K544" i="1" a="1"/>
  <c r="K544" i="1" s="1"/>
  <c r="K543" i="1" a="1"/>
  <c r="K543" i="1" s="1"/>
  <c r="K542" i="1" a="1"/>
  <c r="K542" i="1" s="1"/>
  <c r="K541" i="1" a="1"/>
  <c r="K541" i="1" s="1"/>
  <c r="K540" i="1" a="1"/>
  <c r="K540" i="1" s="1"/>
  <c r="K539" i="1" a="1"/>
  <c r="K539" i="1" s="1"/>
  <c r="K538" i="1" a="1"/>
  <c r="K538" i="1" s="1"/>
  <c r="K536" i="1" a="1"/>
  <c r="K536" i="1" s="1"/>
  <c r="K535" i="1" a="1"/>
  <c r="K535" i="1" s="1"/>
  <c r="K534" i="1" a="1"/>
  <c r="K534" i="1" s="1"/>
  <c r="K532" i="1" a="1"/>
  <c r="K532" i="1" s="1"/>
  <c r="K531" i="1" a="1"/>
  <c r="K531" i="1" s="1"/>
  <c r="K530" i="1" a="1"/>
  <c r="K530" i="1" s="1"/>
  <c r="K529" i="1" a="1"/>
  <c r="K529" i="1" s="1"/>
  <c r="K528" i="1" a="1"/>
  <c r="K528" i="1" s="1"/>
  <c r="K527" i="1" a="1"/>
  <c r="K527" i="1" s="1"/>
  <c r="K526" i="1" a="1"/>
  <c r="K526" i="1" s="1"/>
  <c r="I526" i="1"/>
  <c r="I527" i="1"/>
  <c r="I528" i="1"/>
  <c r="I529" i="1"/>
  <c r="I530" i="1"/>
  <c r="I531" i="1"/>
  <c r="I532" i="1"/>
  <c r="I534" i="1"/>
  <c r="I535" i="1"/>
  <c r="I536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60" i="1"/>
  <c r="I561" i="1"/>
  <c r="I562" i="1"/>
  <c r="I563" i="1"/>
  <c r="I565" i="1"/>
  <c r="I566" i="1"/>
  <c r="I567" i="1"/>
  <c r="I568" i="1"/>
  <c r="I569" i="1"/>
  <c r="I570" i="1"/>
  <c r="I571" i="1"/>
  <c r="I572" i="1"/>
  <c r="I573" i="1"/>
  <c r="I574" i="1"/>
  <c r="I575" i="1"/>
  <c r="I577" i="1"/>
  <c r="I578" i="1"/>
  <c r="I579" i="1"/>
  <c r="I581" i="1"/>
  <c r="I582" i="1"/>
  <c r="I583" i="1"/>
  <c r="I584" i="1"/>
  <c r="I585" i="1"/>
  <c r="I586" i="1"/>
  <c r="I587" i="1"/>
  <c r="I588" i="1"/>
  <c r="I589" i="1"/>
  <c r="Q20" i="2"/>
  <c r="I46" i="2"/>
  <c r="G46" i="2"/>
  <c r="F46" i="2"/>
  <c r="C46" i="2"/>
  <c r="L436" i="1" a="1"/>
  <c r="L436" i="1" s="1"/>
  <c r="K436" i="1" a="1"/>
  <c r="K436" i="1" s="1"/>
  <c r="B87" i="5"/>
  <c r="I436" i="1"/>
  <c r="L307" i="1"/>
  <c r="L434" i="1" a="1"/>
  <c r="L434" i="1" s="1"/>
  <c r="K434" i="1" a="1"/>
  <c r="K434" i="1" s="1"/>
  <c r="I434" i="1"/>
  <c r="F42" i="2"/>
  <c r="L388" i="1"/>
  <c r="O388" i="1" s="1"/>
  <c r="K525" i="1" a="1"/>
  <c r="K525" i="1" s="1"/>
  <c r="L525" i="1" a="1"/>
  <c r="L525" i="1" s="1"/>
  <c r="B86" i="5"/>
  <c r="I525" i="1"/>
  <c r="B85" i="5"/>
  <c r="I516" i="1"/>
  <c r="B84" i="5"/>
  <c r="I515" i="1"/>
  <c r="I479" i="1"/>
  <c r="I504" i="1"/>
  <c r="I506" i="1"/>
  <c r="I505" i="1"/>
  <c r="I497" i="1"/>
  <c r="I496" i="1"/>
  <c r="I470" i="1"/>
  <c r="I469" i="1"/>
  <c r="I468" i="1"/>
  <c r="I467" i="1"/>
  <c r="I463" i="1"/>
  <c r="I462" i="1"/>
  <c r="I461" i="1"/>
  <c r="B83" i="5"/>
  <c r="B82" i="5"/>
  <c r="B81" i="5"/>
  <c r="B80" i="5"/>
  <c r="B79" i="5"/>
  <c r="B78" i="5"/>
  <c r="B77" i="5"/>
  <c r="B76" i="5"/>
  <c r="O482" i="1"/>
  <c r="I476" i="1"/>
  <c r="I477" i="1"/>
  <c r="I478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8" i="1"/>
  <c r="I499" i="1"/>
  <c r="I500" i="1"/>
  <c r="I501" i="1"/>
  <c r="I502" i="1"/>
  <c r="I503" i="1"/>
  <c r="I507" i="1"/>
  <c r="I508" i="1"/>
  <c r="I509" i="1"/>
  <c r="I510" i="1"/>
  <c r="I511" i="1"/>
  <c r="I512" i="1"/>
  <c r="I513" i="1"/>
  <c r="I514" i="1"/>
  <c r="I517" i="1"/>
  <c r="I518" i="1"/>
  <c r="I519" i="1"/>
  <c r="I520" i="1"/>
  <c r="I521" i="1"/>
  <c r="I522" i="1"/>
  <c r="I523" i="1"/>
  <c r="I524" i="1"/>
  <c r="I475" i="1"/>
  <c r="I474" i="1"/>
  <c r="I473" i="1"/>
  <c r="I472" i="1"/>
  <c r="I471" i="1"/>
  <c r="I466" i="1"/>
  <c r="I465" i="1"/>
  <c r="I464" i="1"/>
  <c r="I460" i="1"/>
  <c r="I459" i="1"/>
  <c r="I458" i="1"/>
  <c r="I457" i="1"/>
  <c r="I456" i="1"/>
  <c r="I455" i="1"/>
  <c r="D14" i="6"/>
  <c r="D13" i="6"/>
  <c r="D12" i="6"/>
  <c r="D11" i="6"/>
  <c r="B75" i="5"/>
  <c r="O454" i="1"/>
  <c r="I454" i="1"/>
  <c r="B74" i="5"/>
  <c r="I453" i="1"/>
  <c r="C39" i="2"/>
  <c r="O280" i="1"/>
  <c r="I435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3" i="1"/>
  <c r="I432" i="1"/>
  <c r="I431" i="1"/>
  <c r="I430" i="1"/>
  <c r="B73" i="5"/>
  <c r="I422" i="1"/>
  <c r="I429" i="1"/>
  <c r="B38" i="5"/>
  <c r="I428" i="1"/>
  <c r="I427" i="1"/>
  <c r="I426" i="1"/>
  <c r="I425" i="1"/>
  <c r="I424" i="1"/>
  <c r="I423" i="1"/>
  <c r="I371" i="1"/>
  <c r="F45" i="2"/>
  <c r="F4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4" i="2"/>
  <c r="F2" i="2"/>
  <c r="B11" i="5"/>
  <c r="B51" i="5"/>
  <c r="B72" i="5"/>
  <c r="I337" i="1"/>
  <c r="B71" i="5"/>
  <c r="I281" i="1"/>
  <c r="I419" i="1"/>
  <c r="I415" i="1"/>
  <c r="I414" i="1"/>
  <c r="I413" i="1"/>
  <c r="I405" i="1"/>
  <c r="I404" i="1"/>
  <c r="G403" i="1"/>
  <c r="I403" i="1" s="1"/>
  <c r="I402" i="1"/>
  <c r="I401" i="1"/>
  <c r="I400" i="1"/>
  <c r="I412" i="1"/>
  <c r="I411" i="1"/>
  <c r="B70" i="5"/>
  <c r="I352" i="1"/>
  <c r="B69" i="5"/>
  <c r="I290" i="1"/>
  <c r="I257" i="1"/>
  <c r="B68" i="5"/>
  <c r="I378" i="1"/>
  <c r="I368" i="1"/>
  <c r="I369" i="1"/>
  <c r="I367" i="1"/>
  <c r="I366" i="1"/>
  <c r="I362" i="1"/>
  <c r="I361" i="1"/>
  <c r="B67" i="5"/>
  <c r="B66" i="5"/>
  <c r="B65" i="5"/>
  <c r="B64" i="5"/>
  <c r="B63" i="5"/>
  <c r="I421" i="1"/>
  <c r="I342" i="1"/>
  <c r="I343" i="1"/>
  <c r="I344" i="1"/>
  <c r="I345" i="1"/>
  <c r="I346" i="1"/>
  <c r="I347" i="1"/>
  <c r="I348" i="1"/>
  <c r="I349" i="1"/>
  <c r="I350" i="1"/>
  <c r="I351" i="1"/>
  <c r="I353" i="1"/>
  <c r="I354" i="1"/>
  <c r="I355" i="1"/>
  <c r="I356" i="1"/>
  <c r="I357" i="1"/>
  <c r="I358" i="1"/>
  <c r="I359" i="1"/>
  <c r="I360" i="1"/>
  <c r="I363" i="1"/>
  <c r="I364" i="1"/>
  <c r="I365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6" i="1"/>
  <c r="I407" i="1"/>
  <c r="I408" i="1"/>
  <c r="I409" i="1"/>
  <c r="I410" i="1"/>
  <c r="I416" i="1"/>
  <c r="I417" i="1"/>
  <c r="I418" i="1"/>
  <c r="I420" i="1"/>
  <c r="I341" i="1"/>
  <c r="I323" i="1"/>
  <c r="I317" i="1"/>
  <c r="I306" i="1"/>
  <c r="B62" i="5"/>
  <c r="I298" i="1"/>
  <c r="I297" i="1"/>
  <c r="I289" i="1"/>
  <c r="I288" i="1"/>
  <c r="I287" i="1"/>
  <c r="I286" i="1"/>
  <c r="I285" i="1"/>
  <c r="I264" i="1"/>
  <c r="I263" i="1"/>
  <c r="B61" i="5"/>
  <c r="B60" i="5"/>
  <c r="B59" i="5"/>
  <c r="B57" i="5"/>
  <c r="B55" i="5"/>
  <c r="B54" i="5"/>
  <c r="B53" i="5"/>
  <c r="B52" i="5"/>
  <c r="B49" i="5"/>
  <c r="B48" i="5"/>
  <c r="B47" i="5"/>
  <c r="B46" i="5"/>
  <c r="B44" i="5"/>
  <c r="I340" i="1"/>
  <c r="I339" i="1"/>
  <c r="I338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2" i="1"/>
  <c r="I321" i="1"/>
  <c r="I320" i="1"/>
  <c r="I319" i="1"/>
  <c r="I318" i="1"/>
  <c r="I316" i="1"/>
  <c r="I315" i="1"/>
  <c r="I314" i="1"/>
  <c r="I313" i="1"/>
  <c r="I312" i="1"/>
  <c r="I311" i="1"/>
  <c r="I310" i="1"/>
  <c r="I309" i="1"/>
  <c r="I308" i="1"/>
  <c r="I307" i="1"/>
  <c r="I305" i="1"/>
  <c r="I304" i="1"/>
  <c r="I303" i="1"/>
  <c r="I302" i="1"/>
  <c r="I301" i="1"/>
  <c r="I300" i="1"/>
  <c r="I299" i="1"/>
  <c r="I296" i="1"/>
  <c r="I295" i="1"/>
  <c r="I294" i="1"/>
  <c r="I293" i="1"/>
  <c r="I292" i="1"/>
  <c r="I291" i="1"/>
  <c r="I284" i="1"/>
  <c r="I283" i="1"/>
  <c r="I282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2" i="1"/>
  <c r="I261" i="1"/>
  <c r="I260" i="1"/>
  <c r="I259" i="1"/>
  <c r="I258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45" i="2"/>
  <c r="L45" i="2" s="1"/>
  <c r="G45" i="2"/>
  <c r="C45" i="2"/>
  <c r="D2" i="6"/>
  <c r="I44" i="2"/>
  <c r="G44" i="2"/>
  <c r="C44" i="2"/>
  <c r="I43" i="2"/>
  <c r="G43" i="2"/>
  <c r="C43" i="2"/>
  <c r="I42" i="2"/>
  <c r="G42" i="2"/>
  <c r="C42" i="2"/>
  <c r="I41" i="2"/>
  <c r="G41" i="2"/>
  <c r="C41" i="2"/>
  <c r="I40" i="2"/>
  <c r="G40" i="2"/>
  <c r="C40" i="2"/>
  <c r="I2" i="2"/>
  <c r="K2" i="2" s="1"/>
  <c r="I195" i="1"/>
  <c r="C2" i="2"/>
  <c r="B3" i="2"/>
  <c r="C3" i="2"/>
  <c r="G3" i="2"/>
  <c r="I3" i="2"/>
  <c r="J3" i="2" s="1"/>
  <c r="B4" i="2"/>
  <c r="C4" i="2"/>
  <c r="G4" i="2"/>
  <c r="I4" i="2"/>
  <c r="J4" i="2" s="1"/>
  <c r="B5" i="2"/>
  <c r="C5" i="2"/>
  <c r="G5" i="2"/>
  <c r="I5" i="2"/>
  <c r="J5" i="2" s="1"/>
  <c r="B6" i="2"/>
  <c r="C6" i="2"/>
  <c r="G6" i="2"/>
  <c r="I6" i="2"/>
  <c r="J6" i="2" s="1"/>
  <c r="B7" i="2"/>
  <c r="C7" i="2"/>
  <c r="G7" i="2"/>
  <c r="I7" i="2"/>
  <c r="L7" i="2" s="1"/>
  <c r="B8" i="2"/>
  <c r="C8" i="2"/>
  <c r="G8" i="2"/>
  <c r="I8" i="2"/>
  <c r="L8" i="2" s="1"/>
  <c r="B9" i="2"/>
  <c r="C9" i="2"/>
  <c r="G9" i="2"/>
  <c r="I9" i="2"/>
  <c r="J9" i="2" s="1"/>
  <c r="B10" i="2"/>
  <c r="C10" i="2"/>
  <c r="G10" i="2"/>
  <c r="I10" i="2"/>
  <c r="J10" i="2" s="1"/>
  <c r="B11" i="2"/>
  <c r="C11" i="2"/>
  <c r="G11" i="2"/>
  <c r="I11" i="2"/>
  <c r="L11" i="2" s="1"/>
  <c r="B12" i="2"/>
  <c r="C12" i="2"/>
  <c r="G12" i="2"/>
  <c r="I12" i="2"/>
  <c r="J12" i="2" s="1"/>
  <c r="B13" i="2"/>
  <c r="C13" i="2"/>
  <c r="G13" i="2"/>
  <c r="I13" i="2"/>
  <c r="K13" i="2" s="1"/>
  <c r="B14" i="2"/>
  <c r="C14" i="2"/>
  <c r="G14" i="2"/>
  <c r="I14" i="2"/>
  <c r="B15" i="2"/>
  <c r="C15" i="2"/>
  <c r="G15" i="2"/>
  <c r="I15" i="2"/>
  <c r="J15" i="2" s="1"/>
  <c r="B16" i="2"/>
  <c r="C16" i="2"/>
  <c r="G16" i="2"/>
  <c r="I16" i="2"/>
  <c r="L16" i="2" s="1"/>
  <c r="B17" i="2"/>
  <c r="C17" i="2"/>
  <c r="G17" i="2"/>
  <c r="I17" i="2"/>
  <c r="L17" i="2" s="1"/>
  <c r="B18" i="2"/>
  <c r="C18" i="2"/>
  <c r="G18" i="2"/>
  <c r="I18" i="2"/>
  <c r="J18" i="2" s="1"/>
  <c r="B19" i="2"/>
  <c r="C19" i="2"/>
  <c r="G19" i="2"/>
  <c r="I19" i="2"/>
  <c r="J19" i="2" s="1"/>
  <c r="B20" i="2"/>
  <c r="C20" i="2"/>
  <c r="G20" i="2"/>
  <c r="I20" i="2"/>
  <c r="J20" i="2" s="1"/>
  <c r="B21" i="2"/>
  <c r="C21" i="2"/>
  <c r="G21" i="2"/>
  <c r="I21" i="2"/>
  <c r="K21" i="2" s="1"/>
  <c r="B22" i="2"/>
  <c r="C22" i="2"/>
  <c r="G22" i="2"/>
  <c r="I22" i="2"/>
  <c r="K22" i="2" s="1"/>
  <c r="B23" i="2"/>
  <c r="C23" i="2"/>
  <c r="G23" i="2"/>
  <c r="I23" i="2"/>
  <c r="J23" i="2" s="1"/>
  <c r="B24" i="2"/>
  <c r="C24" i="2"/>
  <c r="G24" i="2"/>
  <c r="I24" i="2"/>
  <c r="L24" i="2" s="1"/>
  <c r="B25" i="2"/>
  <c r="C25" i="2"/>
  <c r="G25" i="2"/>
  <c r="I25" i="2"/>
  <c r="J25" i="2" s="1"/>
  <c r="B26" i="2"/>
  <c r="C26" i="2"/>
  <c r="G26" i="2"/>
  <c r="I26" i="2"/>
  <c r="J26" i="2" s="1"/>
  <c r="B27" i="2"/>
  <c r="C27" i="2"/>
  <c r="G27" i="2"/>
  <c r="I27" i="2"/>
  <c r="K27" i="2" s="1"/>
  <c r="B28" i="2"/>
  <c r="C28" i="2"/>
  <c r="G28" i="2"/>
  <c r="I28" i="2"/>
  <c r="J28" i="2" s="1"/>
  <c r="B29" i="2"/>
  <c r="C29" i="2"/>
  <c r="G29" i="2"/>
  <c r="I29" i="2"/>
  <c r="L29" i="2" s="1"/>
  <c r="B30" i="2"/>
  <c r="C30" i="2"/>
  <c r="G30" i="2"/>
  <c r="I30" i="2"/>
  <c r="J30" i="2" s="1"/>
  <c r="B31" i="2"/>
  <c r="C31" i="2"/>
  <c r="G31" i="2"/>
  <c r="I31" i="2"/>
  <c r="J31" i="2" s="1"/>
  <c r="B32" i="2"/>
  <c r="C32" i="2"/>
  <c r="G32" i="2"/>
  <c r="I32" i="2"/>
  <c r="J32" i="2" s="1"/>
  <c r="B33" i="2"/>
  <c r="C33" i="2"/>
  <c r="G33" i="2"/>
  <c r="I33" i="2"/>
  <c r="J33" i="2" s="1"/>
  <c r="B34" i="2"/>
  <c r="C34" i="2"/>
  <c r="G34" i="2"/>
  <c r="I34" i="2"/>
  <c r="J34" i="2" s="1"/>
  <c r="B35" i="2"/>
  <c r="C35" i="2"/>
  <c r="G35" i="2"/>
  <c r="I35" i="2"/>
  <c r="K35" i="2" s="1"/>
  <c r="B36" i="2"/>
  <c r="C36" i="2"/>
  <c r="G36" i="2"/>
  <c r="I36" i="2"/>
  <c r="J36" i="2" s="1"/>
  <c r="B37" i="2"/>
  <c r="C37" i="2"/>
  <c r="G37" i="2"/>
  <c r="I37" i="2"/>
  <c r="B38" i="2"/>
  <c r="C38" i="2"/>
  <c r="G38" i="2"/>
  <c r="I38" i="2"/>
  <c r="L38" i="2" s="1"/>
  <c r="B39" i="2"/>
  <c r="G39" i="2"/>
  <c r="I39" i="2"/>
  <c r="L39" i="2" s="1"/>
  <c r="D58" i="3"/>
  <c r="C58" i="3"/>
  <c r="B2" i="5"/>
  <c r="G2" i="2"/>
  <c r="O2" i="1"/>
  <c r="O190" i="1"/>
  <c r="O243" i="1"/>
  <c r="B43" i="5"/>
  <c r="B42" i="5"/>
  <c r="B41" i="5"/>
  <c r="B40" i="5"/>
  <c r="B39" i="5"/>
  <c r="B37" i="5"/>
  <c r="B36" i="5"/>
  <c r="B35" i="5"/>
  <c r="B34" i="5"/>
  <c r="B33" i="5"/>
  <c r="B32" i="5"/>
  <c r="B31" i="5"/>
  <c r="B30" i="5"/>
  <c r="B29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0" i="5"/>
  <c r="B9" i="5"/>
  <c r="B8" i="5"/>
  <c r="B6" i="5"/>
  <c r="B3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O564" i="1" l="1"/>
  <c r="P564" i="1" s="1"/>
  <c r="Q564" i="1" s="1"/>
  <c r="O584" i="1"/>
  <c r="P584" i="1" s="1"/>
  <c r="Q584" i="1" s="1"/>
  <c r="O537" i="1"/>
  <c r="P537" i="1" s="1"/>
  <c r="Q537" i="1" s="1"/>
  <c r="O590" i="1"/>
  <c r="P590" i="1" s="1"/>
  <c r="Q590" i="1" s="1"/>
  <c r="O570" i="1"/>
  <c r="P570" i="1" s="1"/>
  <c r="Q570" i="1" s="1"/>
  <c r="O580" i="1"/>
  <c r="P580" i="1" s="1"/>
  <c r="Q580" i="1" s="1"/>
  <c r="O576" i="1"/>
  <c r="P576" i="1" s="1"/>
  <c r="Q576" i="1" s="1"/>
  <c r="O559" i="1"/>
  <c r="P559" i="1" s="1"/>
  <c r="Q559" i="1" s="1"/>
  <c r="O582" i="1"/>
  <c r="P582" i="1" s="1"/>
  <c r="Q582" i="1" s="1"/>
  <c r="O555" i="1"/>
  <c r="P555" i="1" s="1"/>
  <c r="Q555" i="1" s="1"/>
  <c r="O579" i="1"/>
  <c r="P579" i="1" s="1"/>
  <c r="Q579" i="1" s="1"/>
  <c r="O583" i="1"/>
  <c r="P583" i="1" s="1"/>
  <c r="Q583" i="1" s="1"/>
  <c r="O578" i="1"/>
  <c r="P578" i="1" s="1"/>
  <c r="Q578" i="1" s="1"/>
  <c r="O566" i="1"/>
  <c r="P566" i="1" s="1"/>
  <c r="Q566" i="1" s="1"/>
  <c r="O552" i="1"/>
  <c r="P552" i="1" s="1"/>
  <c r="Q552" i="1" s="1"/>
  <c r="O540" i="1"/>
  <c r="P540" i="1" s="1"/>
  <c r="Q540" i="1" s="1"/>
  <c r="O556" i="1"/>
  <c r="P556" i="1" s="1"/>
  <c r="Q556" i="1" s="1"/>
  <c r="O543" i="1"/>
  <c r="P543" i="1" s="1"/>
  <c r="Q543" i="1" s="1"/>
  <c r="O529" i="1"/>
  <c r="P529" i="1" s="1"/>
  <c r="Q529" i="1" s="1"/>
  <c r="O568" i="1"/>
  <c r="P568" i="1" s="1"/>
  <c r="Q568" i="1" s="1"/>
  <c r="O553" i="1"/>
  <c r="P553" i="1" s="1"/>
  <c r="Q553" i="1" s="1"/>
  <c r="O541" i="1"/>
  <c r="P541" i="1" s="1"/>
  <c r="Q541" i="1" s="1"/>
  <c r="O527" i="1"/>
  <c r="P527" i="1" s="1"/>
  <c r="Q527" i="1" s="1"/>
  <c r="O567" i="1"/>
  <c r="P567" i="1" s="1"/>
  <c r="Q567" i="1" s="1"/>
  <c r="O526" i="1"/>
  <c r="P526" i="1" s="1"/>
  <c r="Q526" i="1" s="1"/>
  <c r="O581" i="1"/>
  <c r="P581" i="1" s="1"/>
  <c r="Q581" i="1" s="1"/>
  <c r="O589" i="1"/>
  <c r="P589" i="1" s="1"/>
  <c r="Q589" i="1" s="1"/>
  <c r="O575" i="1"/>
  <c r="P575" i="1" s="1"/>
  <c r="Q575" i="1" s="1"/>
  <c r="O563" i="1"/>
  <c r="P563" i="1" s="1"/>
  <c r="Q563" i="1" s="1"/>
  <c r="O569" i="1"/>
  <c r="P569" i="1" s="1"/>
  <c r="Q569" i="1" s="1"/>
  <c r="O557" i="1"/>
  <c r="P557" i="1" s="1"/>
  <c r="Q557" i="1" s="1"/>
  <c r="O545" i="1"/>
  <c r="P545" i="1" s="1"/>
  <c r="Q545" i="1" s="1"/>
  <c r="O531" i="1"/>
  <c r="P531" i="1" s="1"/>
  <c r="Q531" i="1" s="1"/>
  <c r="O544" i="1"/>
  <c r="P544" i="1" s="1"/>
  <c r="Q544" i="1" s="1"/>
  <c r="O530" i="1"/>
  <c r="P530" i="1" s="1"/>
  <c r="Q530" i="1" s="1"/>
  <c r="O554" i="1"/>
  <c r="P554" i="1" s="1"/>
  <c r="Q554" i="1" s="1"/>
  <c r="O542" i="1"/>
  <c r="P542" i="1" s="1"/>
  <c r="Q542" i="1" s="1"/>
  <c r="O528" i="1"/>
  <c r="P528" i="1" s="1"/>
  <c r="Q528" i="1" s="1"/>
  <c r="O577" i="1"/>
  <c r="P577" i="1" s="1"/>
  <c r="Q577" i="1" s="1"/>
  <c r="O565" i="1"/>
  <c r="P565" i="1" s="1"/>
  <c r="Q565" i="1" s="1"/>
  <c r="O551" i="1"/>
  <c r="P551" i="1" s="1"/>
  <c r="Q551" i="1" s="1"/>
  <c r="O539" i="1"/>
  <c r="P539" i="1" s="1"/>
  <c r="Q539" i="1" s="1"/>
  <c r="O550" i="1"/>
  <c r="P550" i="1" s="1"/>
  <c r="Q550" i="1" s="1"/>
  <c r="O538" i="1"/>
  <c r="P538" i="1" s="1"/>
  <c r="Q538" i="1" s="1"/>
  <c r="O588" i="1"/>
  <c r="P588" i="1" s="1"/>
  <c r="Q588" i="1" s="1"/>
  <c r="O574" i="1"/>
  <c r="P574" i="1" s="1"/>
  <c r="Q574" i="1" s="1"/>
  <c r="O562" i="1"/>
  <c r="P562" i="1" s="1"/>
  <c r="Q562" i="1" s="1"/>
  <c r="O549" i="1"/>
  <c r="P549" i="1" s="1"/>
  <c r="Q549" i="1" s="1"/>
  <c r="O536" i="1"/>
  <c r="P536" i="1" s="1"/>
  <c r="Q536" i="1" s="1"/>
  <c r="O573" i="1"/>
  <c r="P573" i="1" s="1"/>
  <c r="Q573" i="1" s="1"/>
  <c r="O561" i="1"/>
  <c r="P561" i="1" s="1"/>
  <c r="Q561" i="1" s="1"/>
  <c r="O548" i="1"/>
  <c r="P548" i="1" s="1"/>
  <c r="Q548" i="1" s="1"/>
  <c r="O535" i="1"/>
  <c r="P535" i="1" s="1"/>
  <c r="Q535" i="1" s="1"/>
  <c r="O587" i="1"/>
  <c r="P587" i="1" s="1"/>
  <c r="Q587" i="1" s="1"/>
  <c r="O572" i="1"/>
  <c r="P572" i="1" s="1"/>
  <c r="Q572" i="1" s="1"/>
  <c r="O560" i="1"/>
  <c r="P560" i="1" s="1"/>
  <c r="Q560" i="1" s="1"/>
  <c r="O547" i="1"/>
  <c r="P547" i="1" s="1"/>
  <c r="Q547" i="1" s="1"/>
  <c r="O534" i="1"/>
  <c r="P534" i="1" s="1"/>
  <c r="Q534" i="1" s="1"/>
  <c r="O586" i="1"/>
  <c r="P586" i="1" s="1"/>
  <c r="Q586" i="1" s="1"/>
  <c r="O585" i="1"/>
  <c r="P585" i="1" s="1"/>
  <c r="Q585" i="1" s="1"/>
  <c r="O571" i="1"/>
  <c r="P571" i="1" s="1"/>
  <c r="Q571" i="1" s="1"/>
  <c r="O558" i="1"/>
  <c r="P558" i="1" s="1"/>
  <c r="Q558" i="1" s="1"/>
  <c r="O546" i="1"/>
  <c r="P546" i="1" s="1"/>
  <c r="Q546" i="1" s="1"/>
  <c r="O532" i="1"/>
  <c r="P532" i="1" s="1"/>
  <c r="Q532" i="1" s="1"/>
  <c r="E46" i="2"/>
  <c r="O46" i="2" s="1"/>
  <c r="J46" i="2"/>
  <c r="L46" i="2"/>
  <c r="O436" i="1"/>
  <c r="P436" i="1" s="1"/>
  <c r="Q436" i="1" s="1"/>
  <c r="O434" i="1"/>
  <c r="P434" i="1" s="1"/>
  <c r="Q434" i="1" s="1"/>
  <c r="O525" i="1"/>
  <c r="P525" i="1" s="1"/>
  <c r="Q525" i="1" s="1"/>
  <c r="O516" i="1"/>
  <c r="P516" i="1" s="1"/>
  <c r="Q516" i="1" s="1"/>
  <c r="O515" i="1"/>
  <c r="P515" i="1" s="1"/>
  <c r="Q515" i="1" s="1"/>
  <c r="O479" i="1"/>
  <c r="P479" i="1" s="1"/>
  <c r="Q479" i="1" s="1"/>
  <c r="O504" i="1"/>
  <c r="P504" i="1" s="1"/>
  <c r="Q504" i="1" s="1"/>
  <c r="O506" i="1"/>
  <c r="P506" i="1" s="1"/>
  <c r="Q506" i="1" s="1"/>
  <c r="O505" i="1"/>
  <c r="P505" i="1" s="1"/>
  <c r="Q505" i="1" s="1"/>
  <c r="O497" i="1"/>
  <c r="P497" i="1" s="1"/>
  <c r="Q497" i="1" s="1"/>
  <c r="O496" i="1"/>
  <c r="P496" i="1" s="1"/>
  <c r="Q496" i="1" s="1"/>
  <c r="O470" i="1"/>
  <c r="P470" i="1" s="1"/>
  <c r="Q470" i="1" s="1"/>
  <c r="O465" i="1"/>
  <c r="P465" i="1" s="1"/>
  <c r="Q465" i="1" s="1"/>
  <c r="O469" i="1"/>
  <c r="P469" i="1" s="1"/>
  <c r="Q469" i="1" s="1"/>
  <c r="O468" i="1"/>
  <c r="P468" i="1" s="1"/>
  <c r="Q468" i="1" s="1"/>
  <c r="O458" i="1"/>
  <c r="P458" i="1" s="1"/>
  <c r="Q458" i="1" s="1"/>
  <c r="O467" i="1"/>
  <c r="P467" i="1" s="1"/>
  <c r="Q467" i="1" s="1"/>
  <c r="O461" i="1"/>
  <c r="P461" i="1" s="1"/>
  <c r="Q461" i="1" s="1"/>
  <c r="O462" i="1"/>
  <c r="P462" i="1" s="1"/>
  <c r="Q462" i="1" s="1"/>
  <c r="O481" i="1"/>
  <c r="P481" i="1" s="1"/>
  <c r="Q481" i="1" s="1"/>
  <c r="O460" i="1"/>
  <c r="P460" i="1" s="1"/>
  <c r="Q460" i="1" s="1"/>
  <c r="O463" i="1"/>
  <c r="P463" i="1" s="1"/>
  <c r="Q463" i="1" s="1"/>
  <c r="O476" i="1"/>
  <c r="P476" i="1" s="1"/>
  <c r="Q476" i="1" s="1"/>
  <c r="O456" i="1"/>
  <c r="P456" i="1" s="1"/>
  <c r="Q456" i="1" s="1"/>
  <c r="O480" i="1"/>
  <c r="P480" i="1" s="1"/>
  <c r="Q480" i="1" s="1"/>
  <c r="O457" i="1"/>
  <c r="P457" i="1" s="1"/>
  <c r="Q457" i="1" s="1"/>
  <c r="O487" i="1"/>
  <c r="P487" i="1" s="1"/>
  <c r="Q487" i="1" s="1"/>
  <c r="O474" i="1"/>
  <c r="P474" i="1" s="1"/>
  <c r="Q474" i="1" s="1"/>
  <c r="O494" i="1"/>
  <c r="P494" i="1" s="1"/>
  <c r="Q494" i="1" s="1"/>
  <c r="O488" i="1"/>
  <c r="P488" i="1" s="1"/>
  <c r="Q488" i="1" s="1"/>
  <c r="O455" i="1"/>
  <c r="P455" i="1" s="1"/>
  <c r="Q455" i="1" s="1"/>
  <c r="O475" i="1"/>
  <c r="P475" i="1" s="1"/>
  <c r="Q475" i="1" s="1"/>
  <c r="O511" i="1"/>
  <c r="P511" i="1" s="1"/>
  <c r="Q511" i="1" s="1"/>
  <c r="O492" i="1"/>
  <c r="P492" i="1" s="1"/>
  <c r="Q492" i="1" s="1"/>
  <c r="O464" i="1"/>
  <c r="P464" i="1" s="1"/>
  <c r="Q464" i="1" s="1"/>
  <c r="O489" i="1"/>
  <c r="P489" i="1" s="1"/>
  <c r="Q489" i="1" s="1"/>
  <c r="O501" i="1"/>
  <c r="P501" i="1" s="1"/>
  <c r="Q501" i="1" s="1"/>
  <c r="O471" i="1"/>
  <c r="P471" i="1" s="1"/>
  <c r="Q471" i="1" s="1"/>
  <c r="O485" i="1"/>
  <c r="P485" i="1" s="1"/>
  <c r="Q485" i="1" s="1"/>
  <c r="O472" i="1"/>
  <c r="P472" i="1" s="1"/>
  <c r="Q472" i="1" s="1"/>
  <c r="O498" i="1"/>
  <c r="P498" i="1" s="1"/>
  <c r="Q498" i="1" s="1"/>
  <c r="O483" i="1"/>
  <c r="P483" i="1" s="1"/>
  <c r="Q483" i="1" s="1"/>
  <c r="O466" i="1"/>
  <c r="P466" i="1" s="1"/>
  <c r="Q466" i="1" s="1"/>
  <c r="O459" i="1"/>
  <c r="P459" i="1" s="1"/>
  <c r="Q459" i="1" s="1"/>
  <c r="O502" i="1"/>
  <c r="P502" i="1" s="1"/>
  <c r="Q502" i="1" s="1"/>
  <c r="O484" i="1"/>
  <c r="P484" i="1" s="1"/>
  <c r="Q484" i="1" s="1"/>
  <c r="O513" i="1"/>
  <c r="P513" i="1" s="1"/>
  <c r="Q513" i="1" s="1"/>
  <c r="O517" i="1"/>
  <c r="P517" i="1" s="1"/>
  <c r="Q517" i="1" s="1"/>
  <c r="O500" i="1"/>
  <c r="P500" i="1" s="1"/>
  <c r="Q500" i="1" s="1"/>
  <c r="O514" i="1"/>
  <c r="P514" i="1" s="1"/>
  <c r="Q514" i="1" s="1"/>
  <c r="O499" i="1"/>
  <c r="P499" i="1" s="1"/>
  <c r="Q499" i="1" s="1"/>
  <c r="O486" i="1"/>
  <c r="P486" i="1" s="1"/>
  <c r="Q486" i="1" s="1"/>
  <c r="O473" i="1"/>
  <c r="P473" i="1" s="1"/>
  <c r="Q473" i="1" s="1"/>
  <c r="O512" i="1"/>
  <c r="P512" i="1" s="1"/>
  <c r="Q512" i="1" s="1"/>
  <c r="O495" i="1"/>
  <c r="P495" i="1" s="1"/>
  <c r="Q495" i="1" s="1"/>
  <c r="O490" i="1"/>
  <c r="P490" i="1" s="1"/>
  <c r="Q490" i="1" s="1"/>
  <c r="O503" i="1"/>
  <c r="P503" i="1" s="1"/>
  <c r="Q503" i="1" s="1"/>
  <c r="O523" i="1"/>
  <c r="P523" i="1" s="1"/>
  <c r="Q523" i="1" s="1"/>
  <c r="O491" i="1"/>
  <c r="P491" i="1" s="1"/>
  <c r="Q491" i="1" s="1"/>
  <c r="O522" i="1"/>
  <c r="P522" i="1" s="1"/>
  <c r="Q522" i="1" s="1"/>
  <c r="O478" i="1"/>
  <c r="P478" i="1" s="1"/>
  <c r="Q478" i="1" s="1"/>
  <c r="O520" i="1"/>
  <c r="P520" i="1" s="1"/>
  <c r="Q520" i="1" s="1"/>
  <c r="O524" i="1"/>
  <c r="P524" i="1" s="1"/>
  <c r="Q524" i="1" s="1"/>
  <c r="P482" i="1"/>
  <c r="Q482" i="1" s="1"/>
  <c r="O521" i="1"/>
  <c r="P521" i="1" s="1"/>
  <c r="Q521" i="1" s="1"/>
  <c r="O510" i="1"/>
  <c r="P510" i="1" s="1"/>
  <c r="Q510" i="1" s="1"/>
  <c r="O519" i="1"/>
  <c r="P519" i="1" s="1"/>
  <c r="Q519" i="1" s="1"/>
  <c r="O509" i="1"/>
  <c r="P509" i="1" s="1"/>
  <c r="Q509" i="1" s="1"/>
  <c r="O477" i="1"/>
  <c r="P477" i="1" s="1"/>
  <c r="Q477" i="1" s="1"/>
  <c r="O518" i="1"/>
  <c r="P518" i="1" s="1"/>
  <c r="Q518" i="1" s="1"/>
  <c r="O508" i="1"/>
  <c r="P508" i="1" s="1"/>
  <c r="Q508" i="1" s="1"/>
  <c r="O507" i="1"/>
  <c r="P507" i="1" s="1"/>
  <c r="Q507" i="1" s="1"/>
  <c r="O493" i="1"/>
  <c r="P493" i="1" s="1"/>
  <c r="Q493" i="1" s="1"/>
  <c r="P454" i="1"/>
  <c r="Q454" i="1" s="1"/>
  <c r="O453" i="1"/>
  <c r="P453" i="1" s="1"/>
  <c r="Q453" i="1" s="1"/>
  <c r="P280" i="1"/>
  <c r="Q280" i="1" s="1"/>
  <c r="O446" i="1"/>
  <c r="P446" i="1" s="1"/>
  <c r="Q446" i="1" s="1"/>
  <c r="O435" i="1"/>
  <c r="P435" i="1" s="1"/>
  <c r="Q435" i="1" s="1"/>
  <c r="O448" i="1"/>
  <c r="P448" i="1" s="1"/>
  <c r="Q448" i="1" s="1"/>
  <c r="O452" i="1"/>
  <c r="P452" i="1" s="1"/>
  <c r="Q452" i="1" s="1"/>
  <c r="O451" i="1"/>
  <c r="P451" i="1" s="1"/>
  <c r="Q451" i="1" s="1"/>
  <c r="O449" i="1"/>
  <c r="P449" i="1" s="1"/>
  <c r="Q449" i="1" s="1"/>
  <c r="O450" i="1"/>
  <c r="P450" i="1" s="1"/>
  <c r="Q450" i="1" s="1"/>
  <c r="O447" i="1"/>
  <c r="P447" i="1" s="1"/>
  <c r="Q447" i="1" s="1"/>
  <c r="O445" i="1"/>
  <c r="P445" i="1" s="1"/>
  <c r="Q445" i="1" s="1"/>
  <c r="O444" i="1"/>
  <c r="P444" i="1" s="1"/>
  <c r="Q444" i="1" s="1"/>
  <c r="O432" i="1"/>
  <c r="P432" i="1" s="1"/>
  <c r="Q432" i="1" s="1"/>
  <c r="O433" i="1"/>
  <c r="P433" i="1" s="1"/>
  <c r="Q433" i="1" s="1"/>
  <c r="O443" i="1"/>
  <c r="P443" i="1" s="1"/>
  <c r="Q443" i="1" s="1"/>
  <c r="O442" i="1"/>
  <c r="P442" i="1" s="1"/>
  <c r="Q442" i="1" s="1"/>
  <c r="O441" i="1"/>
  <c r="P441" i="1" s="1"/>
  <c r="Q441" i="1" s="1"/>
  <c r="O440" i="1"/>
  <c r="P440" i="1" s="1"/>
  <c r="Q440" i="1" s="1"/>
  <c r="O439" i="1"/>
  <c r="P439" i="1" s="1"/>
  <c r="Q439" i="1" s="1"/>
  <c r="O438" i="1"/>
  <c r="P438" i="1" s="1"/>
  <c r="Q438" i="1" s="1"/>
  <c r="O437" i="1"/>
  <c r="P437" i="1" s="1"/>
  <c r="Q437" i="1" s="1"/>
  <c r="O431" i="1"/>
  <c r="P431" i="1" s="1"/>
  <c r="Q431" i="1" s="1"/>
  <c r="O430" i="1"/>
  <c r="P430" i="1" s="1"/>
  <c r="Q430" i="1" s="1"/>
  <c r="O422" i="1"/>
  <c r="P422" i="1" s="1"/>
  <c r="Q422" i="1" s="1"/>
  <c r="O424" i="1"/>
  <c r="P424" i="1" s="1"/>
  <c r="Q424" i="1" s="1"/>
  <c r="O426" i="1"/>
  <c r="P426" i="1" s="1"/>
  <c r="Q426" i="1" s="1"/>
  <c r="O427" i="1"/>
  <c r="P427" i="1" s="1"/>
  <c r="Q427" i="1" s="1"/>
  <c r="O428" i="1"/>
  <c r="P428" i="1" s="1"/>
  <c r="Q428" i="1" s="1"/>
  <c r="O429" i="1"/>
  <c r="P429" i="1" s="1"/>
  <c r="Q429" i="1" s="1"/>
  <c r="O423" i="1"/>
  <c r="P423" i="1" s="1"/>
  <c r="Q423" i="1" s="1"/>
  <c r="O425" i="1"/>
  <c r="P425" i="1" s="1"/>
  <c r="Q425" i="1" s="1"/>
  <c r="E41" i="2"/>
  <c r="N41" i="2" s="1"/>
  <c r="E43" i="2"/>
  <c r="K43" i="2" s="1"/>
  <c r="O248" i="1"/>
  <c r="P248" i="1" s="1"/>
  <c r="Q248" i="1" s="1"/>
  <c r="O273" i="1"/>
  <c r="P273" i="1" s="1"/>
  <c r="Q273" i="1" s="1"/>
  <c r="O337" i="1"/>
  <c r="P337" i="1" s="1"/>
  <c r="Q337" i="1" s="1"/>
  <c r="O306" i="1"/>
  <c r="P306" i="1" s="1"/>
  <c r="Q306" i="1" s="1"/>
  <c r="O298" i="1"/>
  <c r="P298" i="1" s="1"/>
  <c r="Q298" i="1" s="1"/>
  <c r="O419" i="1"/>
  <c r="P419" i="1" s="1"/>
  <c r="Q419" i="1" s="1"/>
  <c r="O281" i="1"/>
  <c r="P281" i="1" s="1"/>
  <c r="Q281" i="1" s="1"/>
  <c r="O415" i="1"/>
  <c r="P415" i="1" s="1"/>
  <c r="Q415" i="1" s="1"/>
  <c r="O414" i="1"/>
  <c r="P414" i="1" s="1"/>
  <c r="Q414" i="1" s="1"/>
  <c r="O413" i="1"/>
  <c r="P413" i="1" s="1"/>
  <c r="Q413" i="1" s="1"/>
  <c r="O405" i="1"/>
  <c r="P405" i="1" s="1"/>
  <c r="Q405" i="1" s="1"/>
  <c r="O403" i="1"/>
  <c r="P403" i="1" s="1"/>
  <c r="Q403" i="1" s="1"/>
  <c r="O404" i="1"/>
  <c r="P404" i="1" s="1"/>
  <c r="Q404" i="1" s="1"/>
  <c r="O402" i="1"/>
  <c r="P402" i="1" s="1"/>
  <c r="Q402" i="1" s="1"/>
  <c r="O400" i="1"/>
  <c r="P400" i="1" s="1"/>
  <c r="Q400" i="1" s="1"/>
  <c r="O401" i="1"/>
  <c r="P401" i="1" s="1"/>
  <c r="Q401" i="1" s="1"/>
  <c r="O412" i="1"/>
  <c r="P412" i="1" s="1"/>
  <c r="Q412" i="1" s="1"/>
  <c r="O411" i="1"/>
  <c r="P411" i="1" s="1"/>
  <c r="Q411" i="1" s="1"/>
  <c r="O352" i="1"/>
  <c r="P352" i="1" s="1"/>
  <c r="Q352" i="1" s="1"/>
  <c r="O290" i="1"/>
  <c r="P290" i="1" s="1"/>
  <c r="Q290" i="1" s="1"/>
  <c r="O257" i="1"/>
  <c r="P257" i="1" s="1"/>
  <c r="Q257" i="1" s="1"/>
  <c r="O378" i="1"/>
  <c r="P378" i="1" s="1"/>
  <c r="Q378" i="1" s="1"/>
  <c r="O369" i="1"/>
  <c r="P369" i="1" s="1"/>
  <c r="Q369" i="1" s="1"/>
  <c r="O279" i="1"/>
  <c r="P279" i="1" s="1"/>
  <c r="Q279" i="1" s="1"/>
  <c r="O367" i="1"/>
  <c r="P367" i="1" s="1"/>
  <c r="Q367" i="1" s="1"/>
  <c r="O362" i="1"/>
  <c r="P362" i="1" s="1"/>
  <c r="Q362" i="1" s="1"/>
  <c r="O368" i="1"/>
  <c r="P368" i="1" s="1"/>
  <c r="Q368" i="1" s="1"/>
  <c r="O366" i="1"/>
  <c r="P366" i="1" s="1"/>
  <c r="Q366" i="1" s="1"/>
  <c r="O247" i="1"/>
  <c r="P247" i="1" s="1"/>
  <c r="Q247" i="1" s="1"/>
  <c r="O252" i="1"/>
  <c r="P252" i="1" s="1"/>
  <c r="Q252" i="1" s="1"/>
  <c r="O361" i="1"/>
  <c r="P361" i="1" s="1"/>
  <c r="Q361" i="1" s="1"/>
  <c r="O268" i="1"/>
  <c r="P268" i="1" s="1"/>
  <c r="Q268" i="1" s="1"/>
  <c r="O395" i="1"/>
  <c r="P395" i="1" s="1"/>
  <c r="Q395" i="1" s="1"/>
  <c r="O249" i="1"/>
  <c r="P249" i="1" s="1"/>
  <c r="Q249" i="1" s="1"/>
  <c r="O253" i="1"/>
  <c r="P253" i="1" s="1"/>
  <c r="Q253" i="1" s="1"/>
  <c r="O416" i="1"/>
  <c r="P416" i="1" s="1"/>
  <c r="Q416" i="1" s="1"/>
  <c r="O246" i="1"/>
  <c r="P246" i="1" s="1"/>
  <c r="Q246" i="1" s="1"/>
  <c r="O342" i="1"/>
  <c r="P342" i="1" s="1"/>
  <c r="Q342" i="1" s="1"/>
  <c r="O272" i="1"/>
  <c r="P272" i="1" s="1"/>
  <c r="Q272" i="1" s="1"/>
  <c r="O384" i="1"/>
  <c r="P384" i="1" s="1"/>
  <c r="Q384" i="1" s="1"/>
  <c r="O371" i="1"/>
  <c r="P371" i="1" s="1"/>
  <c r="Q371" i="1" s="1"/>
  <c r="O354" i="1"/>
  <c r="P354" i="1" s="1"/>
  <c r="Q354" i="1" s="1"/>
  <c r="O355" i="1"/>
  <c r="P355" i="1" s="1"/>
  <c r="Q355" i="1" s="1"/>
  <c r="O343" i="1"/>
  <c r="P343" i="1" s="1"/>
  <c r="Q343" i="1" s="1"/>
  <c r="O260" i="1"/>
  <c r="P260" i="1" s="1"/>
  <c r="Q260" i="1" s="1"/>
  <c r="O417" i="1"/>
  <c r="P417" i="1" s="1"/>
  <c r="Q417" i="1" s="1"/>
  <c r="O396" i="1"/>
  <c r="P396" i="1" s="1"/>
  <c r="Q396" i="1" s="1"/>
  <c r="O385" i="1"/>
  <c r="P385" i="1" s="1"/>
  <c r="Q385" i="1" s="1"/>
  <c r="O372" i="1"/>
  <c r="P372" i="1" s="1"/>
  <c r="Q372" i="1" s="1"/>
  <c r="O394" i="1"/>
  <c r="P394" i="1" s="1"/>
  <c r="Q394" i="1" s="1"/>
  <c r="O383" i="1"/>
  <c r="P383" i="1" s="1"/>
  <c r="Q383" i="1" s="1"/>
  <c r="O370" i="1"/>
  <c r="P370" i="1" s="1"/>
  <c r="Q370" i="1" s="1"/>
  <c r="O353" i="1"/>
  <c r="P353" i="1" s="1"/>
  <c r="Q353" i="1" s="1"/>
  <c r="O410" i="1"/>
  <c r="P410" i="1" s="1"/>
  <c r="Q410" i="1" s="1"/>
  <c r="O393" i="1"/>
  <c r="P393" i="1" s="1"/>
  <c r="Q393" i="1" s="1"/>
  <c r="O382" i="1"/>
  <c r="P382" i="1" s="1"/>
  <c r="Q382" i="1" s="1"/>
  <c r="O365" i="1"/>
  <c r="P365" i="1" s="1"/>
  <c r="Q365" i="1" s="1"/>
  <c r="O409" i="1"/>
  <c r="P409" i="1" s="1"/>
  <c r="Q409" i="1" s="1"/>
  <c r="O392" i="1"/>
  <c r="P392" i="1" s="1"/>
  <c r="Q392" i="1" s="1"/>
  <c r="O381" i="1"/>
  <c r="P381" i="1" s="1"/>
  <c r="Q381" i="1" s="1"/>
  <c r="O364" i="1"/>
  <c r="P364" i="1" s="1"/>
  <c r="Q364" i="1" s="1"/>
  <c r="O351" i="1"/>
  <c r="P351" i="1" s="1"/>
  <c r="Q351" i="1" s="1"/>
  <c r="O408" i="1"/>
  <c r="P408" i="1" s="1"/>
  <c r="Q408" i="1" s="1"/>
  <c r="O391" i="1"/>
  <c r="P391" i="1" s="1"/>
  <c r="Q391" i="1" s="1"/>
  <c r="O380" i="1"/>
  <c r="P380" i="1" s="1"/>
  <c r="Q380" i="1" s="1"/>
  <c r="O406" i="1"/>
  <c r="P406" i="1" s="1"/>
  <c r="Q406" i="1" s="1"/>
  <c r="O389" i="1"/>
  <c r="P389" i="1" s="1"/>
  <c r="Q389" i="1" s="1"/>
  <c r="O377" i="1"/>
  <c r="P377" i="1" s="1"/>
  <c r="Q377" i="1" s="1"/>
  <c r="O359" i="1"/>
  <c r="P359" i="1" s="1"/>
  <c r="Q359" i="1" s="1"/>
  <c r="O348" i="1"/>
  <c r="P348" i="1" s="1"/>
  <c r="Q348" i="1" s="1"/>
  <c r="P388" i="1"/>
  <c r="Q388" i="1" s="1"/>
  <c r="O376" i="1"/>
  <c r="P376" i="1" s="1"/>
  <c r="Q376" i="1" s="1"/>
  <c r="O358" i="1"/>
  <c r="P358" i="1" s="1"/>
  <c r="Q358" i="1" s="1"/>
  <c r="O347" i="1"/>
  <c r="P347" i="1" s="1"/>
  <c r="Q347" i="1" s="1"/>
  <c r="O399" i="1"/>
  <c r="P399" i="1" s="1"/>
  <c r="Q399" i="1" s="1"/>
  <c r="O387" i="1"/>
  <c r="P387" i="1" s="1"/>
  <c r="Q387" i="1" s="1"/>
  <c r="O375" i="1"/>
  <c r="P375" i="1" s="1"/>
  <c r="Q375" i="1" s="1"/>
  <c r="O357" i="1"/>
  <c r="P357" i="1" s="1"/>
  <c r="Q357" i="1" s="1"/>
  <c r="O346" i="1"/>
  <c r="P346" i="1" s="1"/>
  <c r="Q346" i="1" s="1"/>
  <c r="O363" i="1"/>
  <c r="P363" i="1" s="1"/>
  <c r="Q363" i="1" s="1"/>
  <c r="O350" i="1"/>
  <c r="P350" i="1" s="1"/>
  <c r="Q350" i="1" s="1"/>
  <c r="O420" i="1"/>
  <c r="P420" i="1" s="1"/>
  <c r="Q420" i="1" s="1"/>
  <c r="O398" i="1"/>
  <c r="P398" i="1" s="1"/>
  <c r="Q398" i="1" s="1"/>
  <c r="O374" i="1"/>
  <c r="P374" i="1" s="1"/>
  <c r="Q374" i="1" s="1"/>
  <c r="O345" i="1"/>
  <c r="P345" i="1" s="1"/>
  <c r="Q345" i="1" s="1"/>
  <c r="O407" i="1"/>
  <c r="P407" i="1" s="1"/>
  <c r="Q407" i="1" s="1"/>
  <c r="O390" i="1"/>
  <c r="P390" i="1" s="1"/>
  <c r="Q390" i="1" s="1"/>
  <c r="O379" i="1"/>
  <c r="P379" i="1" s="1"/>
  <c r="Q379" i="1" s="1"/>
  <c r="O360" i="1"/>
  <c r="P360" i="1" s="1"/>
  <c r="Q360" i="1" s="1"/>
  <c r="O349" i="1"/>
  <c r="P349" i="1" s="1"/>
  <c r="Q349" i="1" s="1"/>
  <c r="O418" i="1"/>
  <c r="P418" i="1" s="1"/>
  <c r="Q418" i="1" s="1"/>
  <c r="O397" i="1"/>
  <c r="P397" i="1" s="1"/>
  <c r="Q397" i="1" s="1"/>
  <c r="O386" i="1"/>
  <c r="P386" i="1" s="1"/>
  <c r="Q386" i="1" s="1"/>
  <c r="O373" i="1"/>
  <c r="P373" i="1" s="1"/>
  <c r="Q373" i="1" s="1"/>
  <c r="O356" i="1"/>
  <c r="P356" i="1" s="1"/>
  <c r="Q356" i="1" s="1"/>
  <c r="O344" i="1"/>
  <c r="P344" i="1" s="1"/>
  <c r="Q344" i="1" s="1"/>
  <c r="O421" i="1"/>
  <c r="P421" i="1" s="1"/>
  <c r="Q421" i="1" s="1"/>
  <c r="O256" i="1"/>
  <c r="P256" i="1" s="1"/>
  <c r="Q256" i="1" s="1"/>
  <c r="O271" i="1"/>
  <c r="P271" i="1" s="1"/>
  <c r="Q271" i="1" s="1"/>
  <c r="O282" i="1"/>
  <c r="P282" i="1" s="1"/>
  <c r="Q282" i="1" s="1"/>
  <c r="O341" i="1"/>
  <c r="P341" i="1" s="1"/>
  <c r="Q341" i="1" s="1"/>
  <c r="O265" i="1"/>
  <c r="P265" i="1" s="1"/>
  <c r="Q265" i="1" s="1"/>
  <c r="O317" i="1"/>
  <c r="P317" i="1" s="1"/>
  <c r="Q317" i="1" s="1"/>
  <c r="O323" i="1"/>
  <c r="P323" i="1" s="1"/>
  <c r="Q323" i="1" s="1"/>
  <c r="O250" i="1"/>
  <c r="P250" i="1" s="1"/>
  <c r="Q250" i="1" s="1"/>
  <c r="O283" i="1"/>
  <c r="P283" i="1" s="1"/>
  <c r="Q283" i="1" s="1"/>
  <c r="O262" i="1"/>
  <c r="P262" i="1" s="1"/>
  <c r="Q262" i="1" s="1"/>
  <c r="O244" i="1"/>
  <c r="P244" i="1" s="1"/>
  <c r="Q244" i="1" s="1"/>
  <c r="O269" i="1"/>
  <c r="P269" i="1" s="1"/>
  <c r="Q269" i="1" s="1"/>
  <c r="O270" i="1"/>
  <c r="P270" i="1" s="1"/>
  <c r="Q270" i="1" s="1"/>
  <c r="O297" i="1"/>
  <c r="P297" i="1" s="1"/>
  <c r="Q297" i="1" s="1"/>
  <c r="O289" i="1"/>
  <c r="P289" i="1" s="1"/>
  <c r="Q289" i="1" s="1"/>
  <c r="O275" i="1"/>
  <c r="P275" i="1" s="1"/>
  <c r="Q275" i="1" s="1"/>
  <c r="O288" i="1"/>
  <c r="P288" i="1" s="1"/>
  <c r="Q288" i="1" s="1"/>
  <c r="O287" i="1"/>
  <c r="P287" i="1" s="1"/>
  <c r="Q287" i="1" s="1"/>
  <c r="O285" i="1"/>
  <c r="P285" i="1" s="1"/>
  <c r="Q285" i="1" s="1"/>
  <c r="O286" i="1"/>
  <c r="P286" i="1" s="1"/>
  <c r="Q286" i="1" s="1"/>
  <c r="O266" i="1"/>
  <c r="P266" i="1" s="1"/>
  <c r="Q266" i="1" s="1"/>
  <c r="O294" i="1"/>
  <c r="P294" i="1" s="1"/>
  <c r="Q294" i="1" s="1"/>
  <c r="O264" i="1"/>
  <c r="P264" i="1" s="1"/>
  <c r="Q264" i="1" s="1"/>
  <c r="O263" i="1"/>
  <c r="P263" i="1" s="1"/>
  <c r="Q263" i="1" s="1"/>
  <c r="O292" i="1"/>
  <c r="P292" i="1" s="1"/>
  <c r="Q292" i="1" s="1"/>
  <c r="O311" i="1"/>
  <c r="P311" i="1" s="1"/>
  <c r="Q311" i="1" s="1"/>
  <c r="O251" i="1"/>
  <c r="P251" i="1" s="1"/>
  <c r="Q251" i="1" s="1"/>
  <c r="O310" i="1"/>
  <c r="P310" i="1" s="1"/>
  <c r="Q310" i="1" s="1"/>
  <c r="O299" i="1"/>
  <c r="P299" i="1" s="1"/>
  <c r="Q299" i="1" s="1"/>
  <c r="O295" i="1"/>
  <c r="P295" i="1" s="1"/>
  <c r="Q295" i="1" s="1"/>
  <c r="O309" i="1"/>
  <c r="P309" i="1" s="1"/>
  <c r="Q309" i="1" s="1"/>
  <c r="O296" i="1"/>
  <c r="P296" i="1" s="1"/>
  <c r="Q296" i="1" s="1"/>
  <c r="O300" i="1"/>
  <c r="P300" i="1" s="1"/>
  <c r="Q300" i="1" s="1"/>
  <c r="O305" i="1"/>
  <c r="P305" i="1" s="1"/>
  <c r="Q305" i="1" s="1"/>
  <c r="O307" i="1"/>
  <c r="P307" i="1" s="1"/>
  <c r="Q307" i="1" s="1"/>
  <c r="O293" i="1"/>
  <c r="P293" i="1" s="1"/>
  <c r="Q293" i="1" s="1"/>
  <c r="O284" i="1"/>
  <c r="P284" i="1" s="1"/>
  <c r="Q284" i="1" s="1"/>
  <c r="O274" i="1"/>
  <c r="P274" i="1" s="1"/>
  <c r="Q274" i="1" s="1"/>
  <c r="O321" i="1"/>
  <c r="P321" i="1" s="1"/>
  <c r="Q321" i="1" s="1"/>
  <c r="O319" i="1"/>
  <c r="P319" i="1" s="1"/>
  <c r="Q319" i="1" s="1"/>
  <c r="O318" i="1"/>
  <c r="P318" i="1" s="1"/>
  <c r="Q318" i="1" s="1"/>
  <c r="O308" i="1"/>
  <c r="P308" i="1" s="1"/>
  <c r="Q308" i="1" s="1"/>
  <c r="O276" i="1"/>
  <c r="P276" i="1" s="1"/>
  <c r="Q276" i="1" s="1"/>
  <c r="O277" i="1"/>
  <c r="P277" i="1" s="1"/>
  <c r="Q277" i="1" s="1"/>
  <c r="O278" i="1"/>
  <c r="P278" i="1" s="1"/>
  <c r="Q278" i="1" s="1"/>
  <c r="O267" i="1"/>
  <c r="P267" i="1" s="1"/>
  <c r="Q267" i="1" s="1"/>
  <c r="O328" i="1"/>
  <c r="P328" i="1" s="1"/>
  <c r="Q328" i="1" s="1"/>
  <c r="O331" i="1"/>
  <c r="P331" i="1" s="1"/>
  <c r="Q331" i="1" s="1"/>
  <c r="O329" i="1"/>
  <c r="O327" i="1"/>
  <c r="P327" i="1" s="1"/>
  <c r="Q327" i="1" s="1"/>
  <c r="O316" i="1"/>
  <c r="P316" i="1" s="1"/>
  <c r="Q316" i="1" s="1"/>
  <c r="O332" i="1"/>
  <c r="P332" i="1" s="1"/>
  <c r="Q332" i="1" s="1"/>
  <c r="O261" i="1"/>
  <c r="P261" i="1" s="1"/>
  <c r="Q261" i="1" s="1"/>
  <c r="O330" i="1"/>
  <c r="P330" i="1" s="1"/>
  <c r="Q330" i="1" s="1"/>
  <c r="O320" i="1"/>
  <c r="P320" i="1" s="1"/>
  <c r="Q320" i="1" s="1"/>
  <c r="O340" i="1"/>
  <c r="P340" i="1" s="1"/>
  <c r="Q340" i="1" s="1"/>
  <c r="O315" i="1"/>
  <c r="P315" i="1" s="1"/>
  <c r="Q315" i="1" s="1"/>
  <c r="O259" i="1"/>
  <c r="P259" i="1" s="1"/>
  <c r="Q259" i="1" s="1"/>
  <c r="O339" i="1"/>
  <c r="P339" i="1" s="1"/>
  <c r="Q339" i="1" s="1"/>
  <c r="O326" i="1"/>
  <c r="P326" i="1" s="1"/>
  <c r="Q326" i="1" s="1"/>
  <c r="O338" i="1"/>
  <c r="P338" i="1" s="1"/>
  <c r="Q338" i="1" s="1"/>
  <c r="O325" i="1"/>
  <c r="P325" i="1" s="1"/>
  <c r="Q325" i="1" s="1"/>
  <c r="O304" i="1"/>
  <c r="P304" i="1" s="1"/>
  <c r="Q304" i="1" s="1"/>
  <c r="O291" i="1"/>
  <c r="P291" i="1" s="1"/>
  <c r="Q291" i="1" s="1"/>
  <c r="O336" i="1"/>
  <c r="P336" i="1" s="1"/>
  <c r="Q336" i="1" s="1"/>
  <c r="O314" i="1"/>
  <c r="P314" i="1" s="1"/>
  <c r="Q314" i="1" s="1"/>
  <c r="O303" i="1"/>
  <c r="P303" i="1" s="1"/>
  <c r="Q303" i="1" s="1"/>
  <c r="O335" i="1"/>
  <c r="P335" i="1" s="1"/>
  <c r="Q335" i="1" s="1"/>
  <c r="O324" i="1"/>
  <c r="P324" i="1" s="1"/>
  <c r="Q324" i="1" s="1"/>
  <c r="O313" i="1"/>
  <c r="P313" i="1" s="1"/>
  <c r="Q313" i="1" s="1"/>
  <c r="O302" i="1"/>
  <c r="P302" i="1" s="1"/>
  <c r="Q302" i="1" s="1"/>
  <c r="O334" i="1"/>
  <c r="P334" i="1" s="1"/>
  <c r="Q334" i="1" s="1"/>
  <c r="O322" i="1"/>
  <c r="P322" i="1" s="1"/>
  <c r="Q322" i="1" s="1"/>
  <c r="O312" i="1"/>
  <c r="P312" i="1" s="1"/>
  <c r="Q312" i="1" s="1"/>
  <c r="O301" i="1"/>
  <c r="P301" i="1" s="1"/>
  <c r="Q301" i="1" s="1"/>
  <c r="O333" i="1"/>
  <c r="P333" i="1" s="1"/>
  <c r="Q333" i="1" s="1"/>
  <c r="O255" i="1"/>
  <c r="P255" i="1" s="1"/>
  <c r="Q255" i="1" s="1"/>
  <c r="O254" i="1"/>
  <c r="P254" i="1" s="1"/>
  <c r="Q254" i="1" s="1"/>
  <c r="O258" i="1"/>
  <c r="P258" i="1" s="1"/>
  <c r="Q258" i="1" s="1"/>
  <c r="O245" i="1"/>
  <c r="P245" i="1" s="1"/>
  <c r="Q245" i="1" s="1"/>
  <c r="P243" i="1"/>
  <c r="Q243" i="1" s="1"/>
  <c r="E42" i="2"/>
  <c r="O42" i="2" s="1"/>
  <c r="E45" i="2"/>
  <c r="M45" i="2" s="1"/>
  <c r="J45" i="2"/>
  <c r="J40" i="2"/>
  <c r="L40" i="2"/>
  <c r="E40" i="2"/>
  <c r="O40" i="2" s="1"/>
  <c r="E44" i="2"/>
  <c r="O44" i="2" s="1"/>
  <c r="J44" i="2"/>
  <c r="L44" i="2"/>
  <c r="J43" i="2"/>
  <c r="L43" i="2"/>
  <c r="L42" i="2"/>
  <c r="J42" i="2"/>
  <c r="J41" i="2"/>
  <c r="L41" i="2"/>
  <c r="J17" i="2"/>
  <c r="K19" i="2"/>
  <c r="J21" i="2"/>
  <c r="K11" i="2"/>
  <c r="K17" i="2"/>
  <c r="L15" i="2"/>
  <c r="J13" i="2"/>
  <c r="L30" i="2"/>
  <c r="E10" i="2"/>
  <c r="M10" i="2" s="1"/>
  <c r="E18" i="2"/>
  <c r="N18" i="2" s="1"/>
  <c r="E14" i="2"/>
  <c r="M14" i="2" s="1"/>
  <c r="K8" i="2"/>
  <c r="J29" i="2"/>
  <c r="J14" i="2"/>
  <c r="L12" i="2"/>
  <c r="J8" i="2"/>
  <c r="K12" i="2"/>
  <c r="L33" i="2"/>
  <c r="L35" i="2"/>
  <c r="L3" i="2"/>
  <c r="K5" i="2"/>
  <c r="L25" i="2"/>
  <c r="E32" i="2"/>
  <c r="N32" i="2" s="1"/>
  <c r="J38" i="2"/>
  <c r="E34" i="2"/>
  <c r="M34" i="2" s="1"/>
  <c r="J7" i="2"/>
  <c r="E3" i="2"/>
  <c r="M3" i="2" s="1"/>
  <c r="L28" i="2"/>
  <c r="L26" i="2"/>
  <c r="K26" i="2"/>
  <c r="L22" i="2"/>
  <c r="L14" i="2"/>
  <c r="J22" i="2"/>
  <c r="L9" i="2"/>
  <c r="J39" i="2"/>
  <c r="J37" i="2"/>
  <c r="J35" i="2"/>
  <c r="E24" i="2"/>
  <c r="M24" i="2" s="1"/>
  <c r="J16" i="2"/>
  <c r="J11" i="2"/>
  <c r="J27" i="2"/>
  <c r="E39" i="2"/>
  <c r="K39" i="2" s="1"/>
  <c r="E33" i="2"/>
  <c r="K33" i="2" s="1"/>
  <c r="E11" i="2"/>
  <c r="M11" i="2" s="1"/>
  <c r="E9" i="2"/>
  <c r="M9" i="2" s="1"/>
  <c r="K3" i="2"/>
  <c r="K15" i="2"/>
  <c r="L20" i="2"/>
  <c r="L6" i="2"/>
  <c r="E28" i="2"/>
  <c r="M28" i="2" s="1"/>
  <c r="L18" i="2"/>
  <c r="L4" i="2"/>
  <c r="L32" i="2"/>
  <c r="L27" i="2"/>
  <c r="K24" i="2"/>
  <c r="L13" i="2"/>
  <c r="L10" i="2"/>
  <c r="E29" i="2"/>
  <c r="O29" i="2" s="1"/>
  <c r="E26" i="2"/>
  <c r="O26" i="2" s="1"/>
  <c r="J24" i="2"/>
  <c r="L19" i="2"/>
  <c r="E15" i="2"/>
  <c r="O15" i="2" s="1"/>
  <c r="E12" i="2"/>
  <c r="N12" i="2" s="1"/>
  <c r="L5" i="2"/>
  <c r="E4" i="2"/>
  <c r="M4" i="2" s="1"/>
  <c r="E37" i="2"/>
  <c r="M37" i="2" s="1"/>
  <c r="E21" i="2"/>
  <c r="M21" i="2" s="1"/>
  <c r="E7" i="2"/>
  <c r="K7" i="2" s="1"/>
  <c r="E27" i="2"/>
  <c r="N27" i="2" s="1"/>
  <c r="E16" i="2"/>
  <c r="M16" i="2" s="1"/>
  <c r="E13" i="2"/>
  <c r="O13" i="2" s="1"/>
  <c r="L36" i="2"/>
  <c r="E30" i="2"/>
  <c r="M30" i="2" s="1"/>
  <c r="E19" i="2"/>
  <c r="O19" i="2" s="1"/>
  <c r="E5" i="2"/>
  <c r="M5" i="2" s="1"/>
  <c r="E38" i="2"/>
  <c r="M38" i="2" s="1"/>
  <c r="K36" i="2"/>
  <c r="E35" i="2"/>
  <c r="O35" i="2" s="1"/>
  <c r="L31" i="2"/>
  <c r="L23" i="2"/>
  <c r="E22" i="2"/>
  <c r="M22" i="2" s="1"/>
  <c r="E25" i="2"/>
  <c r="M25" i="2" s="1"/>
  <c r="E8" i="2"/>
  <c r="M8" i="2" s="1"/>
  <c r="L37" i="2"/>
  <c r="L34" i="2"/>
  <c r="L21" i="2"/>
  <c r="E20" i="2"/>
  <c r="K20" i="2" s="1"/>
  <c r="K18" i="2"/>
  <c r="E17" i="2"/>
  <c r="M17" i="2" s="1"/>
  <c r="E6" i="2"/>
  <c r="K6" i="2" s="1"/>
  <c r="E36" i="2"/>
  <c r="M36" i="2" s="1"/>
  <c r="E31" i="2"/>
  <c r="N31" i="2" s="1"/>
  <c r="E23" i="2"/>
  <c r="K23" i="2" s="1"/>
  <c r="O202" i="1"/>
  <c r="P202" i="1" s="1"/>
  <c r="Q202" i="1" s="1"/>
  <c r="O161" i="1"/>
  <c r="P161" i="1" s="1"/>
  <c r="Q161" i="1" s="1"/>
  <c r="O129" i="1"/>
  <c r="P129" i="1" s="1"/>
  <c r="Q129" i="1" s="1"/>
  <c r="O103" i="1"/>
  <c r="P103" i="1" s="1"/>
  <c r="Q103" i="1" s="1"/>
  <c r="O57" i="1"/>
  <c r="P57" i="1" s="1"/>
  <c r="Q57" i="1" s="1"/>
  <c r="O173" i="1"/>
  <c r="P173" i="1" s="1"/>
  <c r="Q173" i="1" s="1"/>
  <c r="O130" i="1"/>
  <c r="P130" i="1" s="1"/>
  <c r="Q130" i="1" s="1"/>
  <c r="O105" i="1"/>
  <c r="P105" i="1" s="1"/>
  <c r="Q105" i="1" s="1"/>
  <c r="O81" i="1"/>
  <c r="P81" i="1" s="1"/>
  <c r="Q81" i="1" s="1"/>
  <c r="O58" i="1"/>
  <c r="P58" i="1" s="1"/>
  <c r="Q58" i="1" s="1"/>
  <c r="O201" i="1"/>
  <c r="P201" i="1" s="1"/>
  <c r="Q201" i="1" s="1"/>
  <c r="O101" i="1"/>
  <c r="P101" i="1" s="1"/>
  <c r="Q101" i="1" s="1"/>
  <c r="O242" i="1"/>
  <c r="P242" i="1" s="1"/>
  <c r="Q242" i="1" s="1"/>
  <c r="O112" i="1"/>
  <c r="P112" i="1" s="1"/>
  <c r="Q112" i="1" s="1"/>
  <c r="O240" i="1"/>
  <c r="P240" i="1" s="1"/>
  <c r="Q240" i="1" s="1"/>
  <c r="O139" i="1"/>
  <c r="P139" i="1" s="1"/>
  <c r="Q139" i="1" s="1"/>
  <c r="O89" i="1"/>
  <c r="P89" i="1" s="1"/>
  <c r="Q89" i="1" s="1"/>
  <c r="O108" i="1"/>
  <c r="P108" i="1" s="1"/>
  <c r="Q108" i="1" s="1"/>
  <c r="O239" i="1"/>
  <c r="P239" i="1" s="1"/>
  <c r="Q239" i="1" s="1"/>
  <c r="O107" i="1"/>
  <c r="P107" i="1" s="1"/>
  <c r="Q107" i="1" s="1"/>
  <c r="O83" i="1"/>
  <c r="P83" i="1" s="1"/>
  <c r="Q83" i="1" s="1"/>
  <c r="O60" i="1"/>
  <c r="P60" i="1" s="1"/>
  <c r="Q60" i="1" s="1"/>
  <c r="O238" i="1"/>
  <c r="P238" i="1" s="1"/>
  <c r="Q238" i="1" s="1"/>
  <c r="O204" i="1"/>
  <c r="P204" i="1" s="1"/>
  <c r="Q204" i="1" s="1"/>
  <c r="O175" i="1"/>
  <c r="P175" i="1" s="1"/>
  <c r="Q175" i="1" s="1"/>
  <c r="O192" i="1"/>
  <c r="P192" i="1" s="1"/>
  <c r="Q192" i="1" s="1"/>
  <c r="O156" i="1"/>
  <c r="P156" i="1" s="1"/>
  <c r="Q156" i="1" s="1"/>
  <c r="O124" i="1"/>
  <c r="P124" i="1" s="1"/>
  <c r="Q124" i="1" s="1"/>
  <c r="O100" i="1"/>
  <c r="P100" i="1" s="1"/>
  <c r="Q100" i="1" s="1"/>
  <c r="O77" i="1"/>
  <c r="P77" i="1" s="1"/>
  <c r="Q77" i="1" s="1"/>
  <c r="O155" i="1"/>
  <c r="P155" i="1" s="1"/>
  <c r="Q155" i="1" s="1"/>
  <c r="O120" i="1"/>
  <c r="P120" i="1" s="1"/>
  <c r="Q120" i="1" s="1"/>
  <c r="O76" i="1"/>
  <c r="P76" i="1" s="1"/>
  <c r="Q76" i="1" s="1"/>
  <c r="O215" i="1"/>
  <c r="P215" i="1" s="1"/>
  <c r="Q215" i="1" s="1"/>
  <c r="O154" i="1"/>
  <c r="P154" i="1" s="1"/>
  <c r="Q154" i="1" s="1"/>
  <c r="O119" i="1"/>
  <c r="P119" i="1" s="1"/>
  <c r="Q119" i="1" s="1"/>
  <c r="O95" i="1"/>
  <c r="P95" i="1" s="1"/>
  <c r="Q95" i="1" s="1"/>
  <c r="O72" i="1"/>
  <c r="P72" i="1" s="1"/>
  <c r="Q72" i="1" s="1"/>
  <c r="O214" i="1"/>
  <c r="P214" i="1" s="1"/>
  <c r="Q214" i="1" s="1"/>
  <c r="O144" i="1"/>
  <c r="P144" i="1" s="1"/>
  <c r="Q144" i="1" s="1"/>
  <c r="O118" i="1"/>
  <c r="P118" i="1" s="1"/>
  <c r="Q118" i="1" s="1"/>
  <c r="O94" i="1"/>
  <c r="P94" i="1" s="1"/>
  <c r="Q94" i="1" s="1"/>
  <c r="O71" i="1"/>
  <c r="P71" i="1" s="1"/>
  <c r="Q71" i="1" s="1"/>
  <c r="O235" i="1"/>
  <c r="P235" i="1" s="1"/>
  <c r="Q235" i="1" s="1"/>
  <c r="O44" i="1"/>
  <c r="P44" i="1" s="1"/>
  <c r="Q44" i="1" s="1"/>
  <c r="O54" i="1"/>
  <c r="P54" i="1" s="1"/>
  <c r="Q54" i="1" s="1"/>
  <c r="O23" i="1"/>
  <c r="P23" i="1" s="1"/>
  <c r="Q23" i="1" s="1"/>
  <c r="O222" i="1"/>
  <c r="P222" i="1" s="1"/>
  <c r="Q222" i="1" s="1"/>
  <c r="O41" i="1"/>
  <c r="P41" i="1" s="1"/>
  <c r="Q41" i="1" s="1"/>
  <c r="O45" i="1"/>
  <c r="P45" i="1" s="1"/>
  <c r="Q45" i="1" s="1"/>
  <c r="O227" i="1"/>
  <c r="P227" i="1" s="1"/>
  <c r="Q227" i="1" s="1"/>
  <c r="O146" i="1"/>
  <c r="P146" i="1" s="1"/>
  <c r="Q146" i="1" s="1"/>
  <c r="O55" i="1"/>
  <c r="P55" i="1" s="1"/>
  <c r="Q55" i="1" s="1"/>
  <c r="O43" i="1"/>
  <c r="P43" i="1" s="1"/>
  <c r="Q43" i="1" s="1"/>
  <c r="O25" i="1"/>
  <c r="P25" i="1" s="1"/>
  <c r="Q25" i="1" s="1"/>
  <c r="O22" i="1"/>
  <c r="P22" i="1" s="1"/>
  <c r="Q22" i="1" s="1"/>
  <c r="O197" i="1"/>
  <c r="P197" i="1" s="1"/>
  <c r="Q197" i="1" s="1"/>
  <c r="O149" i="1"/>
  <c r="P149" i="1" s="1"/>
  <c r="Q149" i="1" s="1"/>
  <c r="O4" i="1"/>
  <c r="P4" i="1" s="1"/>
  <c r="Q4" i="1" s="1"/>
  <c r="O230" i="1"/>
  <c r="P230" i="1" s="1"/>
  <c r="Q230" i="1" s="1"/>
  <c r="O194" i="1"/>
  <c r="P194" i="1" s="1"/>
  <c r="Q194" i="1" s="1"/>
  <c r="O182" i="1"/>
  <c r="P182" i="1" s="1"/>
  <c r="Q182" i="1" s="1"/>
  <c r="O170" i="1"/>
  <c r="P170" i="1" s="1"/>
  <c r="Q170" i="1" s="1"/>
  <c r="O134" i="1"/>
  <c r="P134" i="1" s="1"/>
  <c r="Q134" i="1" s="1"/>
  <c r="O122" i="1"/>
  <c r="P122" i="1" s="1"/>
  <c r="Q122" i="1" s="1"/>
  <c r="O110" i="1"/>
  <c r="P110" i="1" s="1"/>
  <c r="Q110" i="1" s="1"/>
  <c r="O98" i="1"/>
  <c r="P98" i="1" s="1"/>
  <c r="Q98" i="1" s="1"/>
  <c r="O86" i="1"/>
  <c r="P86" i="1" s="1"/>
  <c r="Q86" i="1" s="1"/>
  <c r="O74" i="1"/>
  <c r="P74" i="1" s="1"/>
  <c r="Q74" i="1" s="1"/>
  <c r="O62" i="1"/>
  <c r="P62" i="1" s="1"/>
  <c r="Q62" i="1" s="1"/>
  <c r="O37" i="1"/>
  <c r="P37" i="1" s="1"/>
  <c r="Q37" i="1" s="1"/>
  <c r="O233" i="1"/>
  <c r="P233" i="1" s="1"/>
  <c r="Q233" i="1" s="1"/>
  <c r="O217" i="1"/>
  <c r="P217" i="1" s="1"/>
  <c r="Q217" i="1" s="1"/>
  <c r="O205" i="1"/>
  <c r="P205" i="1" s="1"/>
  <c r="Q205" i="1" s="1"/>
  <c r="O169" i="1"/>
  <c r="P169" i="1" s="1"/>
  <c r="Q169" i="1" s="1"/>
  <c r="O157" i="1"/>
  <c r="P157" i="1" s="1"/>
  <c r="Q157" i="1" s="1"/>
  <c r="O145" i="1"/>
  <c r="P145" i="1" s="1"/>
  <c r="Q145" i="1" s="1"/>
  <c r="O133" i="1"/>
  <c r="P133" i="1" s="1"/>
  <c r="Q133" i="1" s="1"/>
  <c r="O121" i="1"/>
  <c r="P121" i="1" s="1"/>
  <c r="Q121" i="1" s="1"/>
  <c r="O109" i="1"/>
  <c r="P109" i="1" s="1"/>
  <c r="Q109" i="1" s="1"/>
  <c r="O97" i="1"/>
  <c r="P97" i="1" s="1"/>
  <c r="Q97" i="1" s="1"/>
  <c r="O85" i="1"/>
  <c r="P85" i="1" s="1"/>
  <c r="Q85" i="1" s="1"/>
  <c r="O73" i="1"/>
  <c r="P73" i="1" s="1"/>
  <c r="Q73" i="1" s="1"/>
  <c r="O24" i="1"/>
  <c r="P24" i="1" s="1"/>
  <c r="Q24" i="1" s="1"/>
  <c r="O12" i="1"/>
  <c r="P12" i="1" s="1"/>
  <c r="Q12" i="1" s="1"/>
  <c r="O168" i="1"/>
  <c r="P168" i="1" s="1"/>
  <c r="Q168" i="1" s="1"/>
  <c r="O143" i="1"/>
  <c r="P143" i="1" s="1"/>
  <c r="Q143" i="1" s="1"/>
  <c r="O225" i="1"/>
  <c r="P225" i="1" s="1"/>
  <c r="Q225" i="1" s="1"/>
  <c r="O165" i="1"/>
  <c r="P165" i="1" s="1"/>
  <c r="Q165" i="1" s="1"/>
  <c r="O117" i="1"/>
  <c r="P117" i="1" s="1"/>
  <c r="Q117" i="1" s="1"/>
  <c r="O8" i="1"/>
  <c r="P8" i="1" s="1"/>
  <c r="Q8" i="1" s="1"/>
  <c r="O224" i="1"/>
  <c r="P224" i="1" s="1"/>
  <c r="Q224" i="1" s="1"/>
  <c r="O212" i="1"/>
  <c r="P212" i="1" s="1"/>
  <c r="Q212" i="1" s="1"/>
  <c r="O200" i="1"/>
  <c r="P200" i="1" s="1"/>
  <c r="Q200" i="1" s="1"/>
  <c r="O188" i="1"/>
  <c r="P188" i="1" s="1"/>
  <c r="Q188" i="1" s="1"/>
  <c r="O176" i="1"/>
  <c r="P176" i="1" s="1"/>
  <c r="Q176" i="1" s="1"/>
  <c r="O164" i="1"/>
  <c r="P164" i="1" s="1"/>
  <c r="Q164" i="1" s="1"/>
  <c r="O140" i="1"/>
  <c r="P140" i="1" s="1"/>
  <c r="Q140" i="1" s="1"/>
  <c r="O128" i="1"/>
  <c r="P128" i="1" s="1"/>
  <c r="Q128" i="1" s="1"/>
  <c r="O116" i="1"/>
  <c r="P116" i="1" s="1"/>
  <c r="Q116" i="1" s="1"/>
  <c r="O104" i="1"/>
  <c r="P104" i="1" s="1"/>
  <c r="Q104" i="1" s="1"/>
  <c r="O80" i="1"/>
  <c r="P80" i="1" s="1"/>
  <c r="Q80" i="1" s="1"/>
  <c r="O68" i="1"/>
  <c r="P68" i="1" s="1"/>
  <c r="Q68" i="1" s="1"/>
  <c r="O7" i="1"/>
  <c r="P7" i="1" s="1"/>
  <c r="Q7" i="1" s="1"/>
  <c r="O228" i="1"/>
  <c r="P228" i="1" s="1"/>
  <c r="Q228" i="1" s="1"/>
  <c r="O21" i="1"/>
  <c r="P21" i="1" s="1"/>
  <c r="Q21" i="1" s="1"/>
  <c r="O223" i="1"/>
  <c r="P223" i="1" s="1"/>
  <c r="Q223" i="1" s="1"/>
  <c r="O211" i="1"/>
  <c r="P211" i="1" s="1"/>
  <c r="Q211" i="1" s="1"/>
  <c r="O199" i="1"/>
  <c r="P199" i="1" s="1"/>
  <c r="Q199" i="1" s="1"/>
  <c r="O187" i="1"/>
  <c r="P187" i="1" s="1"/>
  <c r="Q187" i="1" s="1"/>
  <c r="O163" i="1"/>
  <c r="P163" i="1" s="1"/>
  <c r="Q163" i="1" s="1"/>
  <c r="O151" i="1"/>
  <c r="P151" i="1" s="1"/>
  <c r="Q151" i="1" s="1"/>
  <c r="O127" i="1"/>
  <c r="P127" i="1" s="1"/>
  <c r="Q127" i="1" s="1"/>
  <c r="O115" i="1"/>
  <c r="P115" i="1" s="1"/>
  <c r="Q115" i="1" s="1"/>
  <c r="O91" i="1"/>
  <c r="P91" i="1" s="1"/>
  <c r="Q91" i="1" s="1"/>
  <c r="O67" i="1"/>
  <c r="P67" i="1" s="1"/>
  <c r="Q67" i="1" s="1"/>
  <c r="O6" i="1"/>
  <c r="P6" i="1" s="1"/>
  <c r="Q6" i="1" s="1"/>
  <c r="O234" i="1"/>
  <c r="P234" i="1" s="1"/>
  <c r="Q234" i="1" s="1"/>
  <c r="O210" i="1"/>
  <c r="P210" i="1" s="1"/>
  <c r="Q210" i="1" s="1"/>
  <c r="O198" i="1"/>
  <c r="P198" i="1" s="1"/>
  <c r="Q198" i="1" s="1"/>
  <c r="O174" i="1"/>
  <c r="P174" i="1" s="1"/>
  <c r="Q174" i="1" s="1"/>
  <c r="O162" i="1"/>
  <c r="P162" i="1" s="1"/>
  <c r="Q162" i="1" s="1"/>
  <c r="O150" i="1"/>
  <c r="P150" i="1" s="1"/>
  <c r="Q150" i="1" s="1"/>
  <c r="O138" i="1"/>
  <c r="P138" i="1" s="1"/>
  <c r="Q138" i="1" s="1"/>
  <c r="O126" i="1"/>
  <c r="P126" i="1" s="1"/>
  <c r="Q126" i="1" s="1"/>
  <c r="O114" i="1"/>
  <c r="P114" i="1" s="1"/>
  <c r="Q114" i="1" s="1"/>
  <c r="O102" i="1"/>
  <c r="P102" i="1" s="1"/>
  <c r="Q102" i="1" s="1"/>
  <c r="O90" i="1"/>
  <c r="P90" i="1" s="1"/>
  <c r="Q90" i="1" s="1"/>
  <c r="O17" i="1"/>
  <c r="P17" i="1" s="1"/>
  <c r="Q17" i="1" s="1"/>
  <c r="O5" i="1"/>
  <c r="P5" i="1" s="1"/>
  <c r="Q5" i="1" s="1"/>
  <c r="O216" i="1"/>
  <c r="P216" i="1" s="1"/>
  <c r="Q216" i="1" s="1"/>
  <c r="O167" i="1"/>
  <c r="P167" i="1" s="1"/>
  <c r="Q167" i="1" s="1"/>
  <c r="O33" i="1"/>
  <c r="P33" i="1" s="1"/>
  <c r="Q33" i="1" s="1"/>
  <c r="O185" i="1"/>
  <c r="P185" i="1" s="1"/>
  <c r="Q185" i="1" s="1"/>
  <c r="O220" i="1"/>
  <c r="P220" i="1" s="1"/>
  <c r="Q220" i="1" s="1"/>
  <c r="O208" i="1"/>
  <c r="P208" i="1" s="1"/>
  <c r="Q208" i="1" s="1"/>
  <c r="O184" i="1"/>
  <c r="P184" i="1" s="1"/>
  <c r="Q184" i="1" s="1"/>
  <c r="O172" i="1"/>
  <c r="P172" i="1" s="1"/>
  <c r="Q172" i="1" s="1"/>
  <c r="O160" i="1"/>
  <c r="P160" i="1" s="1"/>
  <c r="Q160" i="1" s="1"/>
  <c r="O148" i="1"/>
  <c r="P148" i="1" s="1"/>
  <c r="Q148" i="1" s="1"/>
  <c r="O136" i="1"/>
  <c r="P136" i="1" s="1"/>
  <c r="Q136" i="1" s="1"/>
  <c r="O88" i="1"/>
  <c r="P88" i="1" s="1"/>
  <c r="Q88" i="1" s="1"/>
  <c r="O64" i="1"/>
  <c r="P64" i="1" s="1"/>
  <c r="Q64" i="1" s="1"/>
  <c r="O27" i="1"/>
  <c r="P27" i="1" s="1"/>
  <c r="Q27" i="1" s="1"/>
  <c r="O3" i="1"/>
  <c r="P3" i="1" s="1"/>
  <c r="Q3" i="1" s="1"/>
  <c r="O219" i="1"/>
  <c r="P219" i="1" s="1"/>
  <c r="Q219" i="1" s="1"/>
  <c r="O195" i="1"/>
  <c r="P195" i="1" s="1"/>
  <c r="Q195" i="1" s="1"/>
  <c r="O123" i="1"/>
  <c r="P123" i="1" s="1"/>
  <c r="Q123" i="1" s="1"/>
  <c r="O99" i="1"/>
  <c r="P99" i="1" s="1"/>
  <c r="Q99" i="1" s="1"/>
  <c r="O87" i="1"/>
  <c r="P87" i="1" s="1"/>
  <c r="Q87" i="1" s="1"/>
  <c r="O63" i="1"/>
  <c r="P63" i="1" s="1"/>
  <c r="Q63" i="1" s="1"/>
  <c r="E2" i="2"/>
  <c r="O180" i="1"/>
  <c r="P180" i="1" s="1"/>
  <c r="Q180" i="1" s="1"/>
  <c r="O82" i="1"/>
  <c r="P82" i="1" s="1"/>
  <c r="Q82" i="1" s="1"/>
  <c r="O141" i="1"/>
  <c r="P141" i="1" s="1"/>
  <c r="Q141" i="1" s="1"/>
  <c r="O106" i="1"/>
  <c r="P106" i="1" s="1"/>
  <c r="Q106" i="1" s="1"/>
  <c r="J2" i="2"/>
  <c r="O171" i="1"/>
  <c r="P171" i="1" s="1"/>
  <c r="Q171" i="1" s="1"/>
  <c r="O14" i="1"/>
  <c r="P14" i="1" s="1"/>
  <c r="Q14" i="1" s="1"/>
  <c r="O183" i="1"/>
  <c r="P183" i="1" s="1"/>
  <c r="Q183" i="1" s="1"/>
  <c r="O132" i="1"/>
  <c r="P132" i="1" s="1"/>
  <c r="Q132" i="1" s="1"/>
  <c r="O75" i="1"/>
  <c r="P75" i="1" s="1"/>
  <c r="Q75" i="1" s="1"/>
  <c r="O18" i="1"/>
  <c r="P18" i="1" s="1"/>
  <c r="Q18" i="1" s="1"/>
  <c r="O92" i="1"/>
  <c r="P92" i="1" s="1"/>
  <c r="Q92" i="1" s="1"/>
  <c r="O70" i="1"/>
  <c r="P70" i="1" s="1"/>
  <c r="Q70" i="1" s="1"/>
  <c r="O46" i="1"/>
  <c r="P46" i="1" s="1"/>
  <c r="Q46" i="1" s="1"/>
  <c r="O186" i="1"/>
  <c r="P186" i="1" s="1"/>
  <c r="Q186" i="1" s="1"/>
  <c r="O147" i="1"/>
  <c r="P147" i="1" s="1"/>
  <c r="Q147" i="1" s="1"/>
  <c r="O111" i="1"/>
  <c r="P111" i="1" s="1"/>
  <c r="Q111" i="1" s="1"/>
  <c r="O135" i="1"/>
  <c r="P135" i="1" s="1"/>
  <c r="Q135" i="1" s="1"/>
  <c r="O226" i="1"/>
  <c r="P226" i="1" s="1"/>
  <c r="Q226" i="1" s="1"/>
  <c r="O159" i="1"/>
  <c r="P159" i="1" s="1"/>
  <c r="Q159" i="1" s="1"/>
  <c r="O96" i="1"/>
  <c r="P96" i="1" s="1"/>
  <c r="Q96" i="1" s="1"/>
  <c r="O84" i="1"/>
  <c r="P84" i="1" s="1"/>
  <c r="Q84" i="1" s="1"/>
  <c r="O93" i="1"/>
  <c r="P93" i="1" s="1"/>
  <c r="Q93" i="1" s="1"/>
  <c r="O66" i="1"/>
  <c r="P66" i="1" s="1"/>
  <c r="Q66" i="1" s="1"/>
  <c r="O177" i="1"/>
  <c r="P177" i="1" s="1"/>
  <c r="Q177" i="1" s="1"/>
  <c r="O113" i="1"/>
  <c r="P113" i="1" s="1"/>
  <c r="Q113" i="1" s="1"/>
  <c r="O65" i="1"/>
  <c r="P65" i="1" s="1"/>
  <c r="Q65" i="1" s="1"/>
  <c r="O137" i="1"/>
  <c r="P137" i="1" s="1"/>
  <c r="Q137" i="1" s="1"/>
  <c r="O142" i="1"/>
  <c r="P142" i="1" s="1"/>
  <c r="Q142" i="1" s="1"/>
  <c r="O241" i="1"/>
  <c r="P241" i="1" s="1"/>
  <c r="Q241" i="1" s="1"/>
  <c r="O166" i="1"/>
  <c r="P166" i="1" s="1"/>
  <c r="Q166" i="1" s="1"/>
  <c r="O236" i="1"/>
  <c r="P236" i="1" s="1"/>
  <c r="Q236" i="1" s="1"/>
  <c r="O36" i="1"/>
  <c r="P36" i="1" s="1"/>
  <c r="Q36" i="1" s="1"/>
  <c r="O34" i="1"/>
  <c r="P34" i="1" s="1"/>
  <c r="Q34" i="1" s="1"/>
  <c r="O38" i="1"/>
  <c r="P38" i="1" s="1"/>
  <c r="Q38" i="1" s="1"/>
  <c r="O13" i="1"/>
  <c r="P13" i="1" s="1"/>
  <c r="Q13" i="1" s="1"/>
  <c r="O39" i="1"/>
  <c r="P39" i="1" s="1"/>
  <c r="Q39" i="1" s="1"/>
  <c r="O49" i="1"/>
  <c r="P49" i="1" s="1"/>
  <c r="Q49" i="1" s="1"/>
  <c r="O229" i="1"/>
  <c r="P229" i="1" s="1"/>
  <c r="Q229" i="1" s="1"/>
  <c r="O193" i="1"/>
  <c r="P193" i="1" s="1"/>
  <c r="Q193" i="1" s="1"/>
  <c r="O181" i="1"/>
  <c r="P181" i="1" s="1"/>
  <c r="Q181" i="1" s="1"/>
  <c r="O50" i="1"/>
  <c r="P50" i="1" s="1"/>
  <c r="Q50" i="1" s="1"/>
  <c r="O26" i="1"/>
  <c r="P26" i="1" s="1"/>
  <c r="Q26" i="1" s="1"/>
  <c r="O158" i="1"/>
  <c r="P158" i="1" s="1"/>
  <c r="Q158" i="1" s="1"/>
  <c r="O51" i="1"/>
  <c r="P51" i="1" s="1"/>
  <c r="Q51" i="1" s="1"/>
  <c r="O221" i="1"/>
  <c r="P221" i="1" s="1"/>
  <c r="Q221" i="1" s="1"/>
  <c r="O209" i="1"/>
  <c r="P209" i="1" s="1"/>
  <c r="Q209" i="1" s="1"/>
  <c r="O53" i="1"/>
  <c r="P53" i="1" s="1"/>
  <c r="Q53" i="1" s="1"/>
  <c r="O42" i="1"/>
  <c r="P42" i="1" s="1"/>
  <c r="Q42" i="1" s="1"/>
  <c r="O61" i="1"/>
  <c r="P61" i="1" s="1"/>
  <c r="Q61" i="1" s="1"/>
  <c r="O59" i="1"/>
  <c r="P59" i="1" s="1"/>
  <c r="Q59" i="1" s="1"/>
  <c r="O56" i="1"/>
  <c r="P56" i="1" s="1"/>
  <c r="Q56" i="1" s="1"/>
  <c r="O131" i="1"/>
  <c r="P131" i="1" s="1"/>
  <c r="Q131" i="1" s="1"/>
  <c r="O48" i="1"/>
  <c r="P48" i="1" s="1"/>
  <c r="Q48" i="1" s="1"/>
  <c r="O78" i="1"/>
  <c r="P78" i="1" s="1"/>
  <c r="Q78" i="1" s="1"/>
  <c r="O19" i="1"/>
  <c r="P19" i="1" s="1"/>
  <c r="Q19" i="1" s="1"/>
  <c r="O30" i="1"/>
  <c r="P30" i="1" s="1"/>
  <c r="Q30" i="1" s="1"/>
  <c r="O232" i="1"/>
  <c r="P232" i="1" s="1"/>
  <c r="Q232" i="1" s="1"/>
  <c r="O196" i="1"/>
  <c r="P196" i="1" s="1"/>
  <c r="Q196" i="1" s="1"/>
  <c r="O152" i="1"/>
  <c r="P152" i="1" s="1"/>
  <c r="Q152" i="1" s="1"/>
  <c r="O9" i="1"/>
  <c r="P9" i="1" s="1"/>
  <c r="Q9" i="1" s="1"/>
  <c r="O218" i="1"/>
  <c r="P218" i="1" s="1"/>
  <c r="Q218" i="1" s="1"/>
  <c r="O206" i="1"/>
  <c r="P206" i="1" s="1"/>
  <c r="Q206" i="1" s="1"/>
  <c r="O178" i="1"/>
  <c r="P178" i="1" s="1"/>
  <c r="Q178" i="1" s="1"/>
  <c r="O47" i="1"/>
  <c r="P47" i="1" s="1"/>
  <c r="Q47" i="1" s="1"/>
  <c r="O35" i="1"/>
  <c r="P35" i="1" s="1"/>
  <c r="Q35" i="1" s="1"/>
  <c r="O11" i="1"/>
  <c r="P11" i="1" s="1"/>
  <c r="Q11" i="1" s="1"/>
  <c r="O69" i="1"/>
  <c r="P69" i="1" s="1"/>
  <c r="Q69" i="1" s="1"/>
  <c r="O31" i="1"/>
  <c r="P31" i="1" s="1"/>
  <c r="Q31" i="1" s="1"/>
  <c r="O125" i="1"/>
  <c r="P125" i="1" s="1"/>
  <c r="Q125" i="1" s="1"/>
  <c r="O29" i="1"/>
  <c r="P29" i="1" s="1"/>
  <c r="Q29" i="1" s="1"/>
  <c r="O52" i="1"/>
  <c r="P52" i="1" s="1"/>
  <c r="Q52" i="1" s="1"/>
  <c r="O40" i="1"/>
  <c r="P40" i="1" s="1"/>
  <c r="Q40" i="1" s="1"/>
  <c r="O28" i="1"/>
  <c r="P28" i="1" s="1"/>
  <c r="Q28" i="1" s="1"/>
  <c r="O16" i="1"/>
  <c r="P16" i="1" s="1"/>
  <c r="Q16" i="1" s="1"/>
  <c r="O15" i="1"/>
  <c r="P15" i="1" s="1"/>
  <c r="Q15" i="1" s="1"/>
  <c r="O231" i="1"/>
  <c r="P231" i="1" s="1"/>
  <c r="Q231" i="1" s="1"/>
  <c r="O207" i="1"/>
  <c r="P207" i="1" s="1"/>
  <c r="Q207" i="1" s="1"/>
  <c r="O237" i="1"/>
  <c r="P237" i="1" s="1"/>
  <c r="Q237" i="1" s="1"/>
  <c r="O213" i="1"/>
  <c r="P213" i="1" s="1"/>
  <c r="Q213" i="1" s="1"/>
  <c r="O189" i="1"/>
  <c r="P189" i="1" s="1"/>
  <c r="Q189" i="1" s="1"/>
  <c r="O153" i="1"/>
  <c r="P153" i="1" s="1"/>
  <c r="Q153" i="1" s="1"/>
  <c r="O203" i="1"/>
  <c r="P203" i="1" s="1"/>
  <c r="Q203" i="1" s="1"/>
  <c r="O191" i="1"/>
  <c r="P191" i="1" s="1"/>
  <c r="Q191" i="1" s="1"/>
  <c r="O179" i="1"/>
  <c r="P179" i="1" s="1"/>
  <c r="Q179" i="1" s="1"/>
  <c r="P190" i="1"/>
  <c r="Q190" i="1" s="1"/>
  <c r="O10" i="1"/>
  <c r="P10" i="1" s="1"/>
  <c r="Q10" i="1" s="1"/>
  <c r="O79" i="1"/>
  <c r="P79" i="1" s="1"/>
  <c r="Q79" i="1" s="1"/>
  <c r="O32" i="1"/>
  <c r="P32" i="1" s="1"/>
  <c r="Q32" i="1" s="1"/>
  <c r="O20" i="1"/>
  <c r="P20" i="1" s="1"/>
  <c r="Q20" i="1" s="1"/>
  <c r="K46" i="2" l="1"/>
  <c r="M46" i="2"/>
  <c r="N46" i="2"/>
  <c r="K44" i="2"/>
  <c r="K41" i="2"/>
  <c r="K45" i="2"/>
  <c r="P329" i="1"/>
  <c r="Q329" i="1" s="1"/>
  <c r="K40" i="2"/>
  <c r="K42" i="2"/>
  <c r="O43" i="2"/>
  <c r="N42" i="2"/>
  <c r="K28" i="2"/>
  <c r="M42" i="2"/>
  <c r="K9" i="2"/>
  <c r="K14" i="2"/>
  <c r="K37" i="2"/>
  <c r="N45" i="2"/>
  <c r="O45" i="2"/>
  <c r="N40" i="2"/>
  <c r="M40" i="2"/>
  <c r="M41" i="2"/>
  <c r="O41" i="2"/>
  <c r="M43" i="2"/>
  <c r="M44" i="2"/>
  <c r="N44" i="2"/>
  <c r="N43" i="2"/>
  <c r="O23" i="2"/>
  <c r="N8" i="2"/>
  <c r="O14" i="2"/>
  <c r="N14" i="2"/>
  <c r="O5" i="2"/>
  <c r="O10" i="2"/>
  <c r="N10" i="2"/>
  <c r="K10" i="2"/>
  <c r="O32" i="2"/>
  <c r="M32" i="2"/>
  <c r="O18" i="2"/>
  <c r="M18" i="2"/>
  <c r="N15" i="2"/>
  <c r="M15" i="2"/>
  <c r="O24" i="2"/>
  <c r="O28" i="2"/>
  <c r="N19" i="2"/>
  <c r="M19" i="2"/>
  <c r="O30" i="2"/>
  <c r="O3" i="2"/>
  <c r="M12" i="2"/>
  <c r="N3" i="2"/>
  <c r="M29" i="2"/>
  <c r="K32" i="2"/>
  <c r="K29" i="2"/>
  <c r="O27" i="2"/>
  <c r="N33" i="2"/>
  <c r="M27" i="2"/>
  <c r="N22" i="2"/>
  <c r="O22" i="2"/>
  <c r="O9" i="2"/>
  <c r="O8" i="2"/>
  <c r="N9" i="2"/>
  <c r="N35" i="2"/>
  <c r="O39" i="2"/>
  <c r="N28" i="2"/>
  <c r="N23" i="2"/>
  <c r="M35" i="2"/>
  <c r="O4" i="2"/>
  <c r="O17" i="2"/>
  <c r="N17" i="2"/>
  <c r="N25" i="2"/>
  <c r="O33" i="2"/>
  <c r="K4" i="2"/>
  <c r="K34" i="2"/>
  <c r="M39" i="2"/>
  <c r="M13" i="2"/>
  <c r="K16" i="2"/>
  <c r="O34" i="2"/>
  <c r="N26" i="2"/>
  <c r="N39" i="2"/>
  <c r="N13" i="2"/>
  <c r="N34" i="2"/>
  <c r="M26" i="2"/>
  <c r="M23" i="2"/>
  <c r="N29" i="2"/>
  <c r="O21" i="2"/>
  <c r="N4" i="2"/>
  <c r="N37" i="2"/>
  <c r="K31" i="2"/>
  <c r="N30" i="2"/>
  <c r="N24" i="2"/>
  <c r="M33" i="2"/>
  <c r="M31" i="2"/>
  <c r="K30" i="2"/>
  <c r="O12" i="2"/>
  <c r="M6" i="2"/>
  <c r="O25" i="2"/>
  <c r="O16" i="2"/>
  <c r="K25" i="2"/>
  <c r="O11" i="2"/>
  <c r="N16" i="2"/>
  <c r="M7" i="2"/>
  <c r="N11" i="2"/>
  <c r="O37" i="2"/>
  <c r="O36" i="2"/>
  <c r="O20" i="2"/>
  <c r="N36" i="2"/>
  <c r="O38" i="2"/>
  <c r="N5" i="2"/>
  <c r="N20" i="2"/>
  <c r="N38" i="2"/>
  <c r="O7" i="2"/>
  <c r="M20" i="2"/>
  <c r="O6" i="2"/>
  <c r="K38" i="2"/>
  <c r="N7" i="2"/>
  <c r="N6" i="2"/>
  <c r="N21" i="2"/>
  <c r="O31" i="2"/>
  <c r="L2" i="2"/>
  <c r="O2" i="2" l="1"/>
  <c r="N2" i="2"/>
  <c r="M2" i="2"/>
  <c r="I2" i="1" l="1"/>
  <c r="P2" i="1" l="1"/>
  <c r="Q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ENRICO PROCACCINI</author>
  </authors>
  <commentList>
    <comment ref="K1" authorId="0" shapeId="0" xr:uid="{B2EEC38E-EE44-4114-8E3F-517B82B187A9}">
      <text>
        <r>
          <rPr>
            <b/>
            <sz val="9"/>
            <color indexed="81"/>
            <rFont val="Tahoma"/>
            <charset val="1"/>
          </rPr>
          <t xml:space="preserve">ENRICO PROCACCINI:
</t>
        </r>
        <r>
          <rPr>
            <sz val="9"/>
            <color indexed="81"/>
            <rFont val="Tahoma"/>
            <charset val="1"/>
          </rPr>
          <t xml:space="preserve">
ALL'INSERIMENTO DEGLI ORDINI "SELEZIONA E COPIA I VALORI DEL COSTO PER FISSARLI A VITA, OCCORRE IN CASO IL PREZZO CAMBIA PER ORDINI FUTURI: 
=SE.ERRORE(
CERCA.X(Ordini!E245;'Prodotti Magazzino'!$A$2:A10002;'Prodotti Magazzino'!$B$2:B10002);
CERCA.X(Ordini!E245;'Prodotti drop'!$A$2:A10002;'Prodotti drop'!$B$2:B10002)
)*Ordini!F245
</t>
        </r>
      </text>
    </comment>
    <comment ref="M1" authorId="0" shapeId="0" xr:uid="{7B18FB99-6E43-4688-B8CA-DBA058AA1A0E}">
      <text>
        <r>
          <rPr>
            <b/>
            <sz val="9"/>
            <color indexed="81"/>
            <rFont val="Tahoma"/>
            <family val="2"/>
          </rPr>
          <t>ENRICO PROCACCINI:</t>
        </r>
        <r>
          <rPr>
            <sz val="9"/>
            <color indexed="81"/>
            <rFont val="Tahoma"/>
            <family val="2"/>
          </rPr>
          <t xml:space="preserve">
tato Significato
Pagato ordine - normale
Reso prodotto - rientrato
Rimborsato - generico (fallback)
RimborsatoReso - rimborsato + reso effettuato
RimborsatoNoReso - rimborsato senza reso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ENRICO PROCACCINI</author>
  </authors>
  <commentList>
    <comment ref="K1" authorId="0" shapeId="0" xr:uid="{0E89AF1E-F7E5-416A-9DB9-6CE8985C8720}">
      <text>
        <r>
          <rPr>
            <b/>
            <sz val="9"/>
            <color indexed="81"/>
            <rFont val="Tahoma"/>
          </rPr>
          <t>ENRICO PROCACCINI:</t>
        </r>
        <r>
          <rPr>
            <sz val="9"/>
            <color indexed="81"/>
            <rFont val="Tahoma"/>
          </rPr>
          <t xml:space="preserve">
REGOLA D’ORO
Se Copertura &lt; Lead time → problema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ENRICO PROCACCINI</author>
  </authors>
  <commentList>
    <comment ref="A1" authorId="0" shapeId="0" xr:uid="{8DBBD190-37A5-4032-A246-747FD3258628}">
      <text>
        <r>
          <rPr>
            <b/>
            <sz val="9"/>
            <color indexed="81"/>
            <rFont val="Tahoma"/>
            <charset val="1"/>
          </rPr>
          <t>ENRICO PROCACCINI:</t>
        </r>
        <r>
          <rPr>
            <sz val="9"/>
            <color indexed="81"/>
            <rFont val="Tahoma"/>
            <charset val="1"/>
          </rPr>
          <t xml:space="preserve">
ULTIMA DATA DI RICARICO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<sst xmlns="http://schemas.openxmlformats.org/spreadsheetml/2006/main" count="3676" uniqueCount="810">
  <si>
    <t>Data ordine</t>
  </si>
  <si>
    <t>Marketplace</t>
  </si>
  <si>
    <t>Paese (Mercato)</t>
  </si>
  <si>
    <t>Order ID (Codice Market)</t>
  </si>
  <si>
    <t>Prodotto (SKU o nome)</t>
  </si>
  <si>
    <t>Costo prodotto</t>
  </si>
  <si>
    <t>Fee (€)</t>
  </si>
  <si>
    <t>Iva (%)</t>
  </si>
  <si>
    <t>Costo totale</t>
  </si>
  <si>
    <t>Decisione</t>
  </si>
  <si>
    <t>Fatturato (Lordo)</t>
  </si>
  <si>
    <t>Costo logistico</t>
  </si>
  <si>
    <t>Lead time (giorni)</t>
  </si>
  <si>
    <t>Vendite giornaliere</t>
  </si>
  <si>
    <t>Peso lordo</t>
  </si>
  <si>
    <t>Volume</t>
  </si>
  <si>
    <t>Paese</t>
  </si>
  <si>
    <t>Spedizione andata</t>
  </si>
  <si>
    <t>Spedizione reso</t>
  </si>
  <si>
    <t>Note</t>
  </si>
  <si>
    <t>IT</t>
  </si>
  <si>
    <t xml:space="preserve">Utile </t>
  </si>
  <si>
    <t>Pagato</t>
  </si>
  <si>
    <t>Reso</t>
  </si>
  <si>
    <t>RimborsatoReso</t>
  </si>
  <si>
    <t>RimborsatoNoReso</t>
  </si>
  <si>
    <t>→ Spedizione andata</t>
  </si>
  <si>
    <t>→ Spedizione andata + Spedizione reso</t>
  </si>
  <si>
    <t>Stato ordine</t>
  </si>
  <si>
    <t>Quantità ordinata</t>
  </si>
  <si>
    <t>Copertura stock (Giorni)</t>
  </si>
  <si>
    <t>Punto di riordino (Stock minimo da avere)</t>
  </si>
  <si>
    <t>Allert Riordino</t>
  </si>
  <si>
    <t>Quantità da ordinare</t>
  </si>
  <si>
    <t>Non pagato</t>
  </si>
  <si>
    <t>Stock iniziale</t>
  </si>
  <si>
    <t>Data</t>
  </si>
  <si>
    <t>Quantità</t>
  </si>
  <si>
    <t>Stock (A magazzino)</t>
  </si>
  <si>
    <t>Resi</t>
  </si>
  <si>
    <t>RIEPILOGO ORDINI</t>
  </si>
  <si>
    <t>Valore stock</t>
  </si>
  <si>
    <t>Smerigliatrice angolare - WDS2135</t>
  </si>
  <si>
    <t>Compressore a batteria - KD5497</t>
  </si>
  <si>
    <t>Miscelatore Per Malta - KD541</t>
  </si>
  <si>
    <t>Fornello Elettrico Portatile - KD4139</t>
  </si>
  <si>
    <t>Cuociuova in Acciaio Inox - KD4118</t>
  </si>
  <si>
    <t>Frullatore Elettrico a Immersione - KD4110</t>
  </si>
  <si>
    <t>Avvitatore a Batteria - KD3086</t>
  </si>
  <si>
    <t>Kit Sollevatore Mobili - KD3019</t>
  </si>
  <si>
    <t>Irroratore a pressione - KD2033</t>
  </si>
  <si>
    <t>Irroratrice a batteria - KD2032</t>
  </si>
  <si>
    <t>Levigatrice Eccentrica - KD1684</t>
  </si>
  <si>
    <t>Utensile Multifunzione Oscillante - KD1672</t>
  </si>
  <si>
    <t>Manometro - KD1365</t>
  </si>
  <si>
    <t>Multimetro Digitale - KD11297</t>
  </si>
  <si>
    <t>Chiavi Inglesi Combinate - KD10923</t>
  </si>
  <si>
    <t>Set Attrezzi 180 Pezzi  - KD10838</t>
  </si>
  <si>
    <t>Panca da Giardino  - KD10634</t>
  </si>
  <si>
    <t>Motosega a scoppio 52 CC - KD10614</t>
  </si>
  <si>
    <t>Motosega a Scoppio 58cc - KD10613</t>
  </si>
  <si>
    <t>Set chiavi a bussola 219pz - KD10470</t>
  </si>
  <si>
    <t>Calibro digitale - KD10073</t>
  </si>
  <si>
    <t>Motore A Scoppio 210cc - KD1825</t>
  </si>
  <si>
    <t>Lampione Solare - KD3481</t>
  </si>
  <si>
    <t>Piastra induzione - KD4167</t>
  </si>
  <si>
    <t>Frullatore Elettrico a Immersione - KD4181</t>
  </si>
  <si>
    <t>Crick auto 2,5 T - KD1362</t>
  </si>
  <si>
    <t>Cavalletto universale per moto - KD340</t>
  </si>
  <si>
    <t>Microonde 30L - KD4111</t>
  </si>
  <si>
    <t>Barra e lama - KD10152</t>
  </si>
  <si>
    <t>Motosega a batteria 12" - KD5125</t>
  </si>
  <si>
    <t>Kit messa in fase motori diesel - KD12526</t>
  </si>
  <si>
    <t>Fresa a tazza - KD12640</t>
  </si>
  <si>
    <t>Decespugliatore a scoppio - KD5044</t>
  </si>
  <si>
    <t>Trapano a collonna - KD501</t>
  </si>
  <si>
    <t>Arretratore Pistoncini Freni - KD10784</t>
  </si>
  <si>
    <t>Tagliasiepe a batteria - KD5092</t>
  </si>
  <si>
    <t>Decespugliatore a batteria - KD5124</t>
  </si>
  <si>
    <t>Crick auto 2,5 T - WDS2490</t>
  </si>
  <si>
    <t>Imponibile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</si>
  <si>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</si>
  <si>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</si>
  <si>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</si>
  <si>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</si>
  <si>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</si>
  <si>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</si>
  <si>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</si>
  <si>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</si>
  <si>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</si>
  <si>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</si>
  <si>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</si>
  <si>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</si>
  <si>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</si>
  <si>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</si>
  <si>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</si>
  <si>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</si>
  <si>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</si>
  <si>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</si>
  <si>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</si>
  <si>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</si>
  <si>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</si>
  <si>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</si>
  <si>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</si>
  <si>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</si>
  <si>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</si>
  <si>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</si>
  <si>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</si>
  <si>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</si>
  <si>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Amazon</t>
  </si>
  <si>
    <t>Temu</t>
  </si>
  <si>
    <t>eBay</t>
  </si>
  <si>
    <t>403-0703493-4588300</t>
  </si>
  <si>
    <t>171-9083991-8149103</t>
  </si>
  <si>
    <t>171-9068873-5509917</t>
  </si>
  <si>
    <t>405-5126325-5508363</t>
  </si>
  <si>
    <t>405-2974653-4082717</t>
  </si>
  <si>
    <t>PO-098-14133980777593211</t>
  </si>
  <si>
    <t>PO-098-13881093473911711</t>
  </si>
  <si>
    <t>20-14434-30598</t>
  </si>
  <si>
    <t>171-1434651-1557114</t>
  </si>
  <si>
    <t>PO-098-08685015895674008</t>
  </si>
  <si>
    <t>PO-098-08842739400312172</t>
  </si>
  <si>
    <t>27-14428-41941</t>
  </si>
  <si>
    <t>408-2513706-1853919</t>
  </si>
  <si>
    <t>PO-098-08583267169910582</t>
  </si>
  <si>
    <t>407-9002825-8868322</t>
  </si>
  <si>
    <t>405-5798018-5661920</t>
  </si>
  <si>
    <t>402-2940974-1252331</t>
  </si>
  <si>
    <t>408-1873729-0797121</t>
  </si>
  <si>
    <t>PO-098-00623920809592840</t>
  </si>
  <si>
    <t>25-14439-05404</t>
  </si>
  <si>
    <t>407-7524359-7607559</t>
  </si>
  <si>
    <t>PO-098-11163278853751652</t>
  </si>
  <si>
    <t>01-14478-64734</t>
  </si>
  <si>
    <t>408-5892501-7549110</t>
  </si>
  <si>
    <t>403-6843822-0369147</t>
  </si>
  <si>
    <t>171-1471352-6610756</t>
  </si>
  <si>
    <t>PO-098-05695429768310261</t>
  </si>
  <si>
    <t>407-0308255-0384374</t>
  </si>
  <si>
    <t>407-0792167-9944357</t>
  </si>
  <si>
    <t>PO-098-16586828216951967</t>
  </si>
  <si>
    <t>PO-098-15215447391352013</t>
  </si>
  <si>
    <t>PO-098-15774412503672776</t>
  </si>
  <si>
    <t>PO-098-09877731794550101</t>
  </si>
  <si>
    <t>PO-098-09667648343671161</t>
  </si>
  <si>
    <t>PO-098-09899540690550995</t>
  </si>
  <si>
    <t>PO-098-09673381391991191</t>
  </si>
  <si>
    <t>402-4903117-5330701</t>
  </si>
  <si>
    <t>PO-098-21048769216633978</t>
  </si>
  <si>
    <t>PO-098-20775638431351574</t>
  </si>
  <si>
    <t>03-14504-82412</t>
  </si>
  <si>
    <t>405-6360802-8896358</t>
  </si>
  <si>
    <t>404-0082468-0194704</t>
  </si>
  <si>
    <t>405-4498096-1823549</t>
  </si>
  <si>
    <t>408-8782064-0290726</t>
  </si>
  <si>
    <t>406-9180332-8317126</t>
  </si>
  <si>
    <t>406-1448069-0327561</t>
  </si>
  <si>
    <t>404-6947475-5997146</t>
  </si>
  <si>
    <t>406-7141321-2663565</t>
  </si>
  <si>
    <t>404-0998465-7732319</t>
  </si>
  <si>
    <t>408-0167019-9704314</t>
  </si>
  <si>
    <t>PO-098-18510092941432918</t>
  </si>
  <si>
    <t>27-14488-51513</t>
  </si>
  <si>
    <t>171-7040228-2704363</t>
  </si>
  <si>
    <t>406-2138488-9420330</t>
  </si>
  <si>
    <t>404-7160206-2620333</t>
  </si>
  <si>
    <t>403-7145509-8409151</t>
  </si>
  <si>
    <t>171-0182674-7211541</t>
  </si>
  <si>
    <t>405-3262813-9775554</t>
  </si>
  <si>
    <t>PO-098-04102264397432589</t>
  </si>
  <si>
    <t>PO-098-03525859717751929</t>
  </si>
  <si>
    <t>PO-098-03973865759352328</t>
  </si>
  <si>
    <t>PO-098-04001805212792226</t>
  </si>
  <si>
    <t>PO-098-03625355943030502</t>
  </si>
  <si>
    <t>PO-098-03940672515193678</t>
  </si>
  <si>
    <t>PO-098-04113897759352646</t>
  </si>
  <si>
    <t>PO-098-04109981916792607</t>
  </si>
  <si>
    <t>PO-098-03658078853750181</t>
  </si>
  <si>
    <t>20-14500-50170</t>
  </si>
  <si>
    <t>402-2466195-5013909</t>
  </si>
  <si>
    <t>171-7240974-5463523</t>
  </si>
  <si>
    <t>402-3763510-2969117</t>
  </si>
  <si>
    <t>406-2612127-9590703</t>
  </si>
  <si>
    <t>407-6890618-1490700</t>
  </si>
  <si>
    <t>407-3312024-2094707</t>
  </si>
  <si>
    <t>404-8542472-1421152</t>
  </si>
  <si>
    <t>404-3101699-1158762</t>
  </si>
  <si>
    <t>402-4806687-0930730</t>
  </si>
  <si>
    <t>405-7233402-7527543</t>
  </si>
  <si>
    <t>PO-098-14492120151671269</t>
  </si>
  <si>
    <t>PO-098-14859649536633172</t>
  </si>
  <si>
    <t>PO-098-14641250698870378</t>
  </si>
  <si>
    <t>10-14521-76893</t>
  </si>
  <si>
    <t>407-1397179-8063563</t>
  </si>
  <si>
    <t>405-7004609-1932311</t>
  </si>
  <si>
    <t>407-7139161-8759566</t>
  </si>
  <si>
    <t>171-1452665-7155566</t>
  </si>
  <si>
    <t>404-8876868-2621141</t>
  </si>
  <si>
    <t>406-1867180-7459566</t>
  </si>
  <si>
    <t>403-5528152-0673117</t>
  </si>
  <si>
    <t>402-7528401-1088360</t>
  </si>
  <si>
    <t>408-1078755-4280329</t>
  </si>
  <si>
    <t>405-9445807-6079552</t>
  </si>
  <si>
    <t>406-0780933-2287546</t>
  </si>
  <si>
    <t>402-3475036-3429153</t>
  </si>
  <si>
    <t>406-8958058-2267508</t>
  </si>
  <si>
    <t>403-2912317-4116332</t>
  </si>
  <si>
    <t>407-4486896-0611534</t>
  </si>
  <si>
    <t>PO-098-09345991544953076</t>
  </si>
  <si>
    <t>PO-098-09083553359991760</t>
  </si>
  <si>
    <t>PO-098-08991583479671220</t>
  </si>
  <si>
    <t>PO-098-09409344141433722</t>
  </si>
  <si>
    <t>PO-098-08944044289911440</t>
  </si>
  <si>
    <t>PO-098-09032089735032005</t>
  </si>
  <si>
    <t>PO-098-09333013557113283</t>
  </si>
  <si>
    <t>PO-098-09065868827511674</t>
  </si>
  <si>
    <t>PO-098-09090969331831588</t>
  </si>
  <si>
    <t>PO-098-09057478997111916</t>
  </si>
  <si>
    <t>PO-098-09378095537274039</t>
  </si>
  <si>
    <t>PO-098-09521973801592093</t>
  </si>
  <si>
    <t>07-14531-27244</t>
  </si>
  <si>
    <t>12-14521-21727</t>
  </si>
  <si>
    <t>14-14518-13949</t>
  </si>
  <si>
    <t>404-3445480-0098724</t>
  </si>
  <si>
    <t>171-8546354-8127544</t>
  </si>
  <si>
    <t>402-7434950-5017103</t>
  </si>
  <si>
    <t>404-0986677-5513945</t>
  </si>
  <si>
    <t>171-7054434-3550731</t>
  </si>
  <si>
    <t>404-3337115-2058723</t>
  </si>
  <si>
    <t>404-7431232-0025118</t>
  </si>
  <si>
    <t>407-6067905-7903504</t>
  </si>
  <si>
    <t>406-1856493-3845967</t>
  </si>
  <si>
    <t>403-9356313-9840319</t>
  </si>
  <si>
    <t>408-5689535-8081939</t>
  </si>
  <si>
    <t>408-8769381-3139567</t>
  </si>
  <si>
    <t>408-6304791-7901132</t>
  </si>
  <si>
    <t>406-6090579-5382726</t>
  </si>
  <si>
    <t>404-5272687-9022706</t>
  </si>
  <si>
    <t>402-7913092-0289908</t>
  </si>
  <si>
    <t>402-6334188-9572348</t>
  </si>
  <si>
    <t>406-4833657-6620326</t>
  </si>
  <si>
    <t>406-1059936-5643568</t>
  </si>
  <si>
    <t>PO-098-19968018496631396</t>
  </si>
  <si>
    <t>PO-098-20412472384633805</t>
  </si>
  <si>
    <t>PO-098-20518051681912087</t>
  </si>
  <si>
    <t>PO-098-20433482087033679</t>
  </si>
  <si>
    <t>PO-098-20485195884152411</t>
  </si>
  <si>
    <t>PO-098-19981802732151186</t>
  </si>
  <si>
    <t>PO-098-20278072039033516</t>
  </si>
  <si>
    <t>11-14527-12604</t>
  </si>
  <si>
    <t>11-14527-06838</t>
  </si>
  <si>
    <t>403-6476086-2431538</t>
  </si>
  <si>
    <t>407-3641858-3565167</t>
  </si>
  <si>
    <t>405-2226149-6905118</t>
  </si>
  <si>
    <t>408-0330959-8981147</t>
  </si>
  <si>
    <t>171-3896899-7904330</t>
  </si>
  <si>
    <t>PO-098-01365979597432643</t>
  </si>
  <si>
    <t>PO-098-01119675669113983</t>
  </si>
  <si>
    <t>PO-098-00877279698550498</t>
  </si>
  <si>
    <t>PO-098-01137713823354067</t>
  </si>
  <si>
    <t>PO-098-01176364334713837</t>
  </si>
  <si>
    <t>PO-098-01168840801913752</t>
  </si>
  <si>
    <t>PO-098-01058308795513386</t>
  </si>
  <si>
    <t>PO-098-01256240389752209</t>
  </si>
  <si>
    <t>03-14546-30376</t>
  </si>
  <si>
    <t>06-14541-56947</t>
  </si>
  <si>
    <t>405-0261785-2050761</t>
  </si>
  <si>
    <t>408-2390538-0279526</t>
  </si>
  <si>
    <t>403-9987511-9584361</t>
  </si>
  <si>
    <t>408-8209935-4837133</t>
  </si>
  <si>
    <t>403-7949422-3521130</t>
  </si>
  <si>
    <t>404-1319565-8442711</t>
  </si>
  <si>
    <t>403-7520640-7178703</t>
  </si>
  <si>
    <t>171-8191651-0129922</t>
  </si>
  <si>
    <t>404-8291317-2854724</t>
  </si>
  <si>
    <t>403-6085828-1653139</t>
  </si>
  <si>
    <t>405-9675629-2085937</t>
  </si>
  <si>
    <t>PO-098-12190600689273659</t>
  </si>
  <si>
    <t>PO-098-11876482186870283</t>
  </si>
  <si>
    <t>PO-098-12069899105913224</t>
  </si>
  <si>
    <t>PO-098-11856421489270403</t>
  </si>
  <si>
    <t>23-14519-62418</t>
  </si>
  <si>
    <t>407-3082469-6645922</t>
  </si>
  <si>
    <t>408-4822563-6306753</t>
  </si>
  <si>
    <t>406-9057164-9877153</t>
  </si>
  <si>
    <t>402-4351560-0701160</t>
  </si>
  <si>
    <t>404-9870969-7839544</t>
  </si>
  <si>
    <t>171-2116969-0260300</t>
  </si>
  <si>
    <t>404-6108924-5047531</t>
  </si>
  <si>
    <t>PO-098-06211227516791283</t>
  </si>
  <si>
    <t>PO-098-06429895084150043</t>
  </si>
  <si>
    <t>PO-098-06229892263031171</t>
  </si>
  <si>
    <t>PO-098-06275742244471920</t>
  </si>
  <si>
    <t>PO-098-06697203651193696</t>
  </si>
  <si>
    <t>PO-098-12052266926713331</t>
  </si>
  <si>
    <t>16-14535-64075</t>
  </si>
  <si>
    <t>22-14524-60970</t>
  </si>
  <si>
    <t>21-14525-65451</t>
  </si>
  <si>
    <t>406-2100632-7313114</t>
  </si>
  <si>
    <t>407-2580032-4686718</t>
  </si>
  <si>
    <t>PO-098-17630274299514066</t>
  </si>
  <si>
    <t>PO-098-17283543061112039</t>
  </si>
  <si>
    <t>406-3267154-2567521</t>
  </si>
  <si>
    <t>171-2193552-3617108</t>
  </si>
  <si>
    <t>407-5450646-1393138</t>
  </si>
  <si>
    <t>407-4521908-5675550</t>
  </si>
  <si>
    <t>404-1944008-3625944</t>
  </si>
  <si>
    <t>408-2704872-9436351</t>
  </si>
  <si>
    <t>402-5462501-4305101</t>
  </si>
  <si>
    <t>PO-098-05033742003830173</t>
  </si>
  <si>
    <t>PO-098-04840282158711324</t>
  </si>
  <si>
    <t>PO-098-04916527529592022</t>
  </si>
  <si>
    <t>PO-098-05369358797432205</t>
  </si>
  <si>
    <t>PO-098-05430420941433057</t>
  </si>
  <si>
    <t>PO-098-05166837755513538</t>
  </si>
  <si>
    <t>406-2353913-7722716</t>
  </si>
  <si>
    <t>405-7523490-1800351</t>
  </si>
  <si>
    <t>406-9523716-7974737</t>
  </si>
  <si>
    <t>404-1784127-6997122</t>
  </si>
  <si>
    <t>PO-098-16400928241272115</t>
  </si>
  <si>
    <t>PO-098-15886345390711151</t>
  </si>
  <si>
    <t>PO-098-16230519214713195</t>
  </si>
  <si>
    <t>PO-098-16100336138870835</t>
  </si>
  <si>
    <t>PO-098-16386535378552073</t>
  </si>
  <si>
    <t>PO-098-04976433756791603</t>
  </si>
  <si>
    <t>408-2349676-6243542</t>
  </si>
  <si>
    <t>404-2602379-5901949</t>
  </si>
  <si>
    <t>PO-098-10735899905913176</t>
  </si>
  <si>
    <t>PO-098-10916203850872999</t>
  </si>
  <si>
    <t>PO-098-21452382682231764</t>
  </si>
  <si>
    <t>PO-098-21423371653751875</t>
  </si>
  <si>
    <t>PO-098-21905810012792966</t>
  </si>
  <si>
    <t>21-14547-12901</t>
  </si>
  <si>
    <t>PO-098-02174532503671855</t>
  </si>
  <si>
    <t>PO-098-02435704292473371</t>
  </si>
  <si>
    <t>PO-098-02735098942072608</t>
  </si>
  <si>
    <t>PO-098-13555358003833586</t>
  </si>
  <si>
    <t>PO-098-13443712412793228</t>
  </si>
  <si>
    <t>Idealux_8021696308227</t>
  </si>
  <si>
    <t>DFL_805061</t>
  </si>
  <si>
    <t>Idealux_8021696096728</t>
  </si>
  <si>
    <t>Idealux_8021696115320</t>
  </si>
  <si>
    <t>DFL_5115472</t>
  </si>
  <si>
    <t>DFL_6000652</t>
  </si>
  <si>
    <t>DFL_6048394</t>
  </si>
  <si>
    <t>DFL_612821</t>
  </si>
  <si>
    <t>Magazzino_05</t>
  </si>
  <si>
    <t>DFL_4048740</t>
  </si>
  <si>
    <t>DFL_612527</t>
  </si>
  <si>
    <t>DFL_6237209</t>
  </si>
  <si>
    <t>Idealux_8021696155869</t>
  </si>
  <si>
    <t>DFL_1066404</t>
  </si>
  <si>
    <t>DFL_531802</t>
  </si>
  <si>
    <t>DFL_6060908</t>
  </si>
  <si>
    <t>DFL_1040703</t>
  </si>
  <si>
    <t>DFL_102614</t>
  </si>
  <si>
    <t>DFL_601496</t>
  </si>
  <si>
    <t>Idealux_8021696348339</t>
  </si>
  <si>
    <t>DFL_313174</t>
  </si>
  <si>
    <t>Idealux_8021696123998</t>
  </si>
  <si>
    <t>DFL_603739</t>
  </si>
  <si>
    <t>DFL_1500305</t>
  </si>
  <si>
    <t>Leroy Merlin</t>
  </si>
  <si>
    <t>005-26091L15471-A</t>
  </si>
  <si>
    <t>Kaufland</t>
  </si>
  <si>
    <t>FR</t>
  </si>
  <si>
    <t>MQD8795</t>
  </si>
  <si>
    <t>DE</t>
  </si>
  <si>
    <t>MDZCR95</t>
  </si>
  <si>
    <t>005-26099L16250-A</t>
  </si>
  <si>
    <t>005-26101L409-A</t>
  </si>
  <si>
    <t>005-26102L11873-A</t>
  </si>
  <si>
    <t>005-26104L3011-A</t>
  </si>
  <si>
    <t>MYCTH55</t>
  </si>
  <si>
    <t>005-26107L40798-A</t>
  </si>
  <si>
    <t>005-26108L36728-B</t>
  </si>
  <si>
    <t>MR45T55</t>
  </si>
  <si>
    <t>MTF4E55</t>
  </si>
  <si>
    <t>005-26111L12396-A</t>
  </si>
  <si>
    <t>005-26115L22816-A</t>
  </si>
  <si>
    <t>DFL_308440</t>
  </si>
  <si>
    <t>Idealux_8021696122854</t>
  </si>
  <si>
    <t>Idealux_8021696268095</t>
  </si>
  <si>
    <t>DFL_1043600</t>
  </si>
  <si>
    <t>DFL_406754</t>
  </si>
  <si>
    <t>DFL_900610</t>
  </si>
  <si>
    <t>DFL_1045434</t>
  </si>
  <si>
    <t>Idealux_8021696200484</t>
  </si>
  <si>
    <t>DFL_7930740</t>
  </si>
  <si>
    <t>Idealux_8021696251257</t>
  </si>
  <si>
    <t>Idealux_8021696328348</t>
  </si>
  <si>
    <t>DFL_6131890</t>
  </si>
  <si>
    <t>DFL_7930780</t>
  </si>
  <si>
    <t>DFL_6129346</t>
  </si>
  <si>
    <t>DFL_6129340</t>
  </si>
  <si>
    <t>DFL_6129344</t>
  </si>
  <si>
    <t>(Tutto)</t>
  </si>
  <si>
    <t>Fatturato  (Lordo)</t>
  </si>
  <si>
    <t xml:space="preserve"> Costo totale</t>
  </si>
  <si>
    <t xml:space="preserve"> Utile </t>
  </si>
  <si>
    <t>Vendite totali</t>
  </si>
  <si>
    <t>Quantità resi effettiva</t>
  </si>
  <si>
    <t xml:space="preserve">Costo aggiornato </t>
  </si>
  <si>
    <t xml:space="preserve">Costo reale </t>
  </si>
  <si>
    <t>DFL_700296</t>
  </si>
  <si>
    <t>ES</t>
  </si>
  <si>
    <t>Tutti</t>
  </si>
  <si>
    <t>Rimborso parziale 20,93</t>
  </si>
  <si>
    <t>Reso ma è stato consegnato ad un cliente sbagliato, in sospeso da temu</t>
  </si>
  <si>
    <t>Motozappa 52cc - KD5162</t>
  </si>
  <si>
    <t>Piastra induzione singola - KD4168</t>
  </si>
  <si>
    <t>Cavalletto moto - KD342</t>
  </si>
  <si>
    <t>Fornello a gas - KD10499</t>
  </si>
  <si>
    <t>Estrattore giunti - KD10149</t>
  </si>
  <si>
    <t>Tagliabordi con ruote - KD5129</t>
  </si>
  <si>
    <t>PO-098-07618604104311276</t>
  </si>
  <si>
    <t>PO-098-07723371239031612</t>
  </si>
  <si>
    <t>PO-098-08002364810874047</t>
  </si>
  <si>
    <t>PO-098-08000407219834056</t>
  </si>
  <si>
    <t>PO-098-18847679621750842</t>
  </si>
  <si>
    <t>PO-098-19195602381432928</t>
  </si>
  <si>
    <t>PO-098-03399871145590694</t>
  </si>
  <si>
    <t>PO-098-03235679247991736</t>
  </si>
  <si>
    <t>PO-098-03122927299191320</t>
  </si>
  <si>
    <t>PO-098-13873431183993738</t>
  </si>
  <si>
    <t>PO-098-14408559836790743</t>
  </si>
  <si>
    <t>PO-098-14162004813431058</t>
  </si>
  <si>
    <t>403-4353884-4714764</t>
  </si>
  <si>
    <t>171-6101466-7119526</t>
  </si>
  <si>
    <t>403-8374372-6730711</t>
  </si>
  <si>
    <t>PO-098-19451708050552427</t>
  </si>
  <si>
    <t>407-4575105-0258767</t>
  </si>
  <si>
    <t>PO-098-19422142669432474</t>
  </si>
  <si>
    <t>PO-098-19891532175990700</t>
  </si>
  <si>
    <t>PO-098-00242729505912104</t>
  </si>
  <si>
    <t>408-0457608-0171522</t>
  </si>
  <si>
    <t>402-0354395-0807572</t>
  </si>
  <si>
    <t>PO-098-00583240888950010</t>
  </si>
  <si>
    <t>PO-098-00194711050872326</t>
  </si>
  <si>
    <t>171-7162824-6033135</t>
  </si>
  <si>
    <t>408-2283386-3717910</t>
  </si>
  <si>
    <t>403-4160549-1025122</t>
  </si>
  <si>
    <t>404-1906427-1342704</t>
  </si>
  <si>
    <t>171-6770711-7661941</t>
  </si>
  <si>
    <t>406-8819129-2139551</t>
  </si>
  <si>
    <t>171-5621816-9861925</t>
  </si>
  <si>
    <t>PO-098-05945236035192034</t>
  </si>
  <si>
    <t>404-9348711-4928369</t>
  </si>
  <si>
    <t>405-5975736-7841102</t>
  </si>
  <si>
    <t>PO-098-04493637558391342</t>
  </si>
  <si>
    <t>PO-098-04699023153270246</t>
  </si>
  <si>
    <t>PO-098-04537976399991078</t>
  </si>
  <si>
    <t>PO-098-21117326439031587</t>
  </si>
  <si>
    <t>PO-098-20723244096633870</t>
  </si>
  <si>
    <t>403-5859121-8804351</t>
  </si>
  <si>
    <t>PO-098-01487933235833898</t>
  </si>
  <si>
    <t>PO-098-02040438144630543</t>
  </si>
  <si>
    <t>PO-098-13036646454390534</t>
  </si>
  <si>
    <t>407-0223465-1350705</t>
  </si>
  <si>
    <t>PO-098-18119693799032175</t>
  </si>
  <si>
    <t>PO-098-18468669325430927</t>
  </si>
  <si>
    <t>406-6230829-9482714</t>
  </si>
  <si>
    <t>408-0833550-9456337</t>
  </si>
  <si>
    <t>171-2598012-6390754</t>
  </si>
  <si>
    <t>PO-098-03536778309754038</t>
  </si>
  <si>
    <t>PO-098-14897064654711863</t>
  </si>
  <si>
    <t>PO-098-14903800242551695</t>
  </si>
  <si>
    <t>PO-098-14922624003191775</t>
  </si>
  <si>
    <t>406-2840811-8440326</t>
  </si>
  <si>
    <t>405-6324358-6559532</t>
  </si>
  <si>
    <t>407-1335661-9077105</t>
  </si>
  <si>
    <t>PO-098-14456886305913335</t>
  </si>
  <si>
    <t>171-9053895-3305168</t>
  </si>
  <si>
    <t>PO-098-14471497760633438</t>
  </si>
  <si>
    <t>PO-098-14870063023991958</t>
  </si>
  <si>
    <t>PO-098-09160917138552261</t>
  </si>
  <si>
    <t>PO-098-09521779879030044</t>
  </si>
  <si>
    <t>PO-098-09592500050550713</t>
  </si>
  <si>
    <t>PO-098-09497118428790129</t>
  </si>
  <si>
    <t>402-4015009-2422700</t>
  </si>
  <si>
    <t>PO-098-20199965604473023</t>
  </si>
  <si>
    <t>PO-098-20016477061753989</t>
  </si>
  <si>
    <t>PO-098-20486792069750352</t>
  </si>
  <si>
    <t>PO-098-20259157967992607</t>
  </si>
  <si>
    <t>PO-098-20155893722232260</t>
  </si>
  <si>
    <t>PO-098-19982224673913233</t>
  </si>
  <si>
    <t>PO-098-20007352679033147</t>
  </si>
  <si>
    <t>PO-098-20300235254391336</t>
  </si>
  <si>
    <t>PO-098-19961825129593419</t>
  </si>
  <si>
    <t>PO-098-20156726592632257</t>
  </si>
  <si>
    <t>402-7539279-7531507</t>
  </si>
  <si>
    <t>407-4238385-5560320</t>
  </si>
  <si>
    <t>PO-098-20526270362230116</t>
  </si>
  <si>
    <t>PO-098-01138974904951818</t>
  </si>
  <si>
    <t>PO-098-01235940897910344</t>
  </si>
  <si>
    <t>407-3338969-9089110</t>
  </si>
  <si>
    <t>DFL_5120650</t>
  </si>
  <si>
    <t>DFL_7950071</t>
  </si>
  <si>
    <t>DFL_8042181</t>
  </si>
  <si>
    <t>DFL_3099226</t>
  </si>
  <si>
    <t>Idealux_8021696302379</t>
  </si>
  <si>
    <t>Idealux_8021696346526</t>
  </si>
  <si>
    <t>Idealux_8021696308234</t>
  </si>
  <si>
    <t>DFL_1068858</t>
  </si>
  <si>
    <t>DFL_612838</t>
  </si>
  <si>
    <t>DFL_1069794</t>
  </si>
  <si>
    <t>Idealux_8021696289908</t>
  </si>
  <si>
    <t>DFL_1089706</t>
  </si>
  <si>
    <t>DFL_6135986</t>
  </si>
  <si>
    <t>DFL_6129342</t>
  </si>
  <si>
    <t>21-14582-89604</t>
  </si>
  <si>
    <t>11-14598-43186</t>
  </si>
  <si>
    <t>23-14604-50730</t>
  </si>
  <si>
    <t>21-14611-42484</t>
  </si>
  <si>
    <t>24-14624-30454</t>
  </si>
  <si>
    <t>22-14612-85400</t>
  </si>
  <si>
    <t>07-14637-83715</t>
  </si>
  <si>
    <t>18-14636-02155</t>
  </si>
  <si>
    <t>DFL_606240</t>
  </si>
  <si>
    <t>25-14626-27950</t>
  </si>
  <si>
    <t>04-14667-75811</t>
  </si>
  <si>
    <t>23-14643-49389</t>
  </si>
  <si>
    <t>08-14674-67506</t>
  </si>
  <si>
    <t>21-14660-42667</t>
  </si>
  <si>
    <t>403-7901157-8838767</t>
  </si>
  <si>
    <t>Idealux_8021696303390</t>
  </si>
  <si>
    <t>PO-098-01122603776631981</t>
  </si>
  <si>
    <t>PO-098-00756676224633072</t>
  </si>
  <si>
    <t>PO-098-01222213000310490</t>
  </si>
  <si>
    <t>PO-098-01276306222710041</t>
  </si>
  <si>
    <t>403-7640986-4389135</t>
  </si>
  <si>
    <t>407-7249557-1545123</t>
  </si>
  <si>
    <t>403-5147335-0297917</t>
  </si>
  <si>
    <t>171-8974712-8861107</t>
  </si>
  <si>
    <t>408-6916142-8148300</t>
  </si>
  <si>
    <t>171-9227330-4510766</t>
  </si>
  <si>
    <t>171-5714013-2572341</t>
  </si>
  <si>
    <t>PO-098-11889148673912382</t>
  </si>
  <si>
    <t>PO-098-11881919553912363</t>
  </si>
  <si>
    <t>406-2579749-6759548</t>
  </si>
  <si>
    <t>PO-098-12148051478391862</t>
  </si>
  <si>
    <t>PO-098-12368640571510612</t>
  </si>
  <si>
    <t>PO-098-11829422277753826</t>
  </si>
  <si>
    <t>PO-098-12007586373752572</t>
  </si>
  <si>
    <t>405-3666352-1664350</t>
  </si>
  <si>
    <t>PO-098-11961888485752844</t>
  </si>
  <si>
    <t>408-6074105-6055535</t>
  </si>
  <si>
    <t>171-4242138-3325914</t>
  </si>
  <si>
    <t>403-4382235-5872336</t>
  </si>
  <si>
    <t>408-9203928-0100305</t>
  </si>
  <si>
    <t>Idealux_8021696192291</t>
  </si>
  <si>
    <t>PO-098-06276407583354028</t>
  </si>
  <si>
    <t>PO-098-06279449805434010</t>
  </si>
  <si>
    <t>PO-098-06643912645751838</t>
  </si>
  <si>
    <t>PO-098-06756313211510208</t>
  </si>
  <si>
    <t>DFL_612734</t>
  </si>
  <si>
    <t>PO-098-06687362181751581</t>
  </si>
  <si>
    <t>PO-098-17257853397113150</t>
  </si>
  <si>
    <t>PO-098-17397431379832190</t>
  </si>
  <si>
    <t>PO-098-17509909208952609</t>
  </si>
  <si>
    <t>405-8719889-3295558</t>
  </si>
  <si>
    <t>407-8284694-4065136</t>
  </si>
  <si>
    <t>408-2811976-4254715</t>
  </si>
  <si>
    <t>404-3696234-7575504</t>
  </si>
  <si>
    <t>408-0040046-3379554</t>
  </si>
  <si>
    <t>408-4548079-5990716</t>
  </si>
  <si>
    <t>PO-098-05243460309111931</t>
  </si>
  <si>
    <t>171-6272251-9246766</t>
  </si>
  <si>
    <t>DFL_102656</t>
  </si>
  <si>
    <t>402-8526131-3130714</t>
  </si>
  <si>
    <t>406-7566476-7297128</t>
  </si>
  <si>
    <t>404-9112963-1885164</t>
  </si>
  <si>
    <t>Idealux_8021696243849</t>
  </si>
  <si>
    <t>406-6974843-3418701</t>
  </si>
  <si>
    <t>406-8714580-2415563</t>
  </si>
  <si>
    <t>405-8235882-6157928</t>
  </si>
  <si>
    <t>PO-098-04883490015353117</t>
  </si>
  <si>
    <t>403-9397566-6318762</t>
  </si>
  <si>
    <t>171-2631395-1225900</t>
  </si>
  <si>
    <t>405-8413291-9773133</t>
  </si>
  <si>
    <t>PO-098-16390868659830063</t>
  </si>
  <si>
    <t>PO-098-16232099413111136</t>
  </si>
  <si>
    <t>PO-098-16254734953592027</t>
  </si>
  <si>
    <t>402-5628796-4825950</t>
  </si>
  <si>
    <t>407-5243781-0061149</t>
  </si>
  <si>
    <t>PO-098-10428875973753918</t>
  </si>
  <si>
    <t>PO-098-16283196903031665</t>
  </si>
  <si>
    <t>PO-098-10498975219832540</t>
  </si>
  <si>
    <t>PO-098-21583944704632836</t>
  </si>
  <si>
    <t>408-4835314-7784303</t>
  </si>
  <si>
    <t>04-14688-71562</t>
  </si>
  <si>
    <t>05-14691-49515</t>
  </si>
  <si>
    <t>02-14696-42964</t>
  </si>
  <si>
    <t>16-14674-40337</t>
  </si>
  <si>
    <t>17-14672-77170</t>
  </si>
  <si>
    <t>12-14682-46130</t>
  </si>
  <si>
    <t>005-26101L44792-A</t>
  </si>
  <si>
    <t>DFL_6135116</t>
  </si>
  <si>
    <t>005-26134L20378-A</t>
  </si>
  <si>
    <t>DFL_1050406</t>
  </si>
  <si>
    <t>005-26144L32588-A</t>
  </si>
  <si>
    <t>DFL_8048812</t>
  </si>
  <si>
    <t>005-26148L46365-A</t>
  </si>
  <si>
    <t>005-26148L56684-A</t>
  </si>
  <si>
    <t>09-14691-89909</t>
  </si>
  <si>
    <t>12-14687-47530</t>
  </si>
  <si>
    <t>08-14695-61745</t>
  </si>
  <si>
    <t>20-14677-15694</t>
  </si>
  <si>
    <t>11-14693-41498</t>
  </si>
  <si>
    <t>07-14702-32841</t>
  </si>
  <si>
    <t>09-14701-35879</t>
  </si>
  <si>
    <t>18-14688-69223</t>
  </si>
  <si>
    <t>18-14690-73313</t>
  </si>
  <si>
    <t>11-14702-00497</t>
  </si>
  <si>
    <t>M9UETC5</t>
  </si>
  <si>
    <t xml:space="preserve"> Idealux_8021696200217</t>
  </si>
  <si>
    <t>MFU9LT5</t>
  </si>
  <si>
    <t>Idealux_8021696322650</t>
  </si>
  <si>
    <t>25-14683-91613</t>
  </si>
  <si>
    <t>24-14700-39903</t>
  </si>
  <si>
    <t>21-14690-46275</t>
  </si>
  <si>
    <t>PO-098-02464633295991276</t>
  </si>
  <si>
    <t>PO-098-02581150762870390</t>
  </si>
  <si>
    <t>406-7611413-2055502</t>
  </si>
  <si>
    <t>406-1668564-2851501</t>
  </si>
  <si>
    <t>005-26150L40684-A</t>
  </si>
  <si>
    <t>DFL_6119936</t>
  </si>
  <si>
    <t>005-26151L42715-A</t>
  </si>
  <si>
    <t>17-14701-61014</t>
  </si>
  <si>
    <t>22-14693-77962</t>
  </si>
  <si>
    <t>PO-098-13361359854712697</t>
  </si>
  <si>
    <t>407-0298280-0608317</t>
  </si>
  <si>
    <t>408-8384786-2005920</t>
  </si>
  <si>
    <t>Idealux_8021696096704</t>
  </si>
  <si>
    <t>402-6017923-8637940</t>
  </si>
  <si>
    <t xml:space="preserve"> 403-0873749-5818753</t>
  </si>
  <si>
    <t>403-2806707-0485154</t>
  </si>
  <si>
    <t>405-2429374-0796310</t>
  </si>
  <si>
    <t>403-2568222-2131557</t>
  </si>
  <si>
    <t>PO-098-08099076498550268</t>
  </si>
  <si>
    <t>PO-098-08125386458230177</t>
  </si>
  <si>
    <t>PO-098-08151989208950083</t>
  </si>
  <si>
    <t>PO-098-08177825784951017</t>
  </si>
  <si>
    <t>21-14699-15807</t>
  </si>
  <si>
    <t>16-14707-84980</t>
  </si>
  <si>
    <t>01-14734-26509</t>
  </si>
  <si>
    <t>03-14730-26956</t>
  </si>
  <si>
    <t>21-14701-38982</t>
  </si>
  <si>
    <t>171-6539828-3269152</t>
  </si>
  <si>
    <t xml:space="preserve">Reso </t>
  </si>
  <si>
    <t>Difettoso (sostituzione)</t>
  </si>
  <si>
    <t>reso</t>
  </si>
  <si>
    <t xml:space="preserve"> Idealux_8021696250427</t>
  </si>
  <si>
    <t>171-4534683-1253930</t>
  </si>
  <si>
    <t>Idealux_8021696307091</t>
  </si>
  <si>
    <t>404-9833456-9450741</t>
  </si>
  <si>
    <t>PO-098-19022973440631911</t>
  </si>
  <si>
    <t>PO-098-19165672817270930</t>
  </si>
  <si>
    <t>402-3941607-0402720</t>
  </si>
  <si>
    <t>406-4401427-0572369</t>
  </si>
  <si>
    <t>403-2985005-9589953</t>
  </si>
  <si>
    <t>PO-098-03387201523833395</t>
  </si>
  <si>
    <t>PO-098-13907218463350083</t>
  </si>
  <si>
    <t>PO-098-14288382805113891</t>
  </si>
  <si>
    <t>PO-098-14243126677112049</t>
  </si>
  <si>
    <t>403-6272313-0972312</t>
  </si>
  <si>
    <t>PO-098-13996351478391662</t>
  </si>
  <si>
    <t>PO-098-14358252045433539</t>
  </si>
  <si>
    <t>PO-098-14280944394873871</t>
  </si>
  <si>
    <t>PO-098-08810627625593773</t>
  </si>
  <si>
    <t>PO-098-08418446055031951</t>
  </si>
  <si>
    <t>408-2892727-0703553</t>
  </si>
  <si>
    <t>407-7250160-9628327</t>
  </si>
  <si>
    <t>PO-098-08522388987511523</t>
  </si>
  <si>
    <t>PO-098-08565676759671265</t>
  </si>
  <si>
    <t>PO-098-08276806651510811</t>
  </si>
  <si>
    <t>PO-098-08411456512630070</t>
  </si>
  <si>
    <t>405-4900974-1085169</t>
  </si>
  <si>
    <t>403-4167926-3021934</t>
  </si>
  <si>
    <t>PO-098-00435097334392495</t>
  </si>
  <si>
    <t>PO-098-00426209321592674</t>
  </si>
  <si>
    <t>404-4907604-7710724</t>
  </si>
  <si>
    <t>405-1859700-7934702</t>
  </si>
  <si>
    <t>407-6888948-9499525</t>
  </si>
  <si>
    <t>402-3440877-0952318</t>
  </si>
  <si>
    <t>404-8375965-9058766</t>
  </si>
  <si>
    <t>PO-098-11261502848631453</t>
  </si>
  <si>
    <t>402-4302494-3693953</t>
  </si>
  <si>
    <t>402-1957124-4842732</t>
  </si>
  <si>
    <t>PO-098-11282781077111324</t>
  </si>
  <si>
    <t>PO-098-11256762691191417</t>
  </si>
  <si>
    <t>406-4316911-5465125</t>
  </si>
  <si>
    <t>PO-098-05862765957752846</t>
  </si>
  <si>
    <t>PO-098-06032040190074079</t>
  </si>
  <si>
    <t>408-1897391-8505961</t>
  </si>
  <si>
    <t>403-3099538-9991537</t>
  </si>
  <si>
    <t>407-3002107-3519524</t>
  </si>
  <si>
    <t>PO-098-05846782807673007</t>
  </si>
  <si>
    <t>PO-098-11016244621430995</t>
  </si>
  <si>
    <t>PO-098-16576298542710620</t>
  </si>
  <si>
    <t>PO-098-16911442115192654</t>
  </si>
  <si>
    <t>404-6739379-0782711</t>
  </si>
  <si>
    <t>408-8045489-1685121</t>
  </si>
  <si>
    <t>407-2744552-2061917</t>
  </si>
  <si>
    <t>171-2384567-8749947</t>
  </si>
  <si>
    <t>403-3183420-5077932</t>
  </si>
  <si>
    <t>Idealux_8021696250427</t>
  </si>
  <si>
    <t>Idealux_8021696260334</t>
  </si>
  <si>
    <t>Idealux_8021696119502</t>
  </si>
  <si>
    <t>DFL_8048584</t>
  </si>
  <si>
    <t>Idealux_8021696285702</t>
  </si>
  <si>
    <t>Idealux_8021696307077</t>
  </si>
  <si>
    <t>Idealux_8021696138633</t>
  </si>
  <si>
    <t>26-14695-68713</t>
  </si>
  <si>
    <t>01-14737-43876</t>
  </si>
  <si>
    <t>18-14710-05032</t>
  </si>
  <si>
    <t>12-14719-94869</t>
  </si>
  <si>
    <t>17-14712-29500</t>
  </si>
  <si>
    <t>19-14711-58344</t>
  </si>
  <si>
    <t>07-14731-62658</t>
  </si>
  <si>
    <t>19-14733-83414</t>
  </si>
  <si>
    <t>03-14763-55525</t>
  </si>
  <si>
    <t>03-14763-69718</t>
  </si>
  <si>
    <t>08-14756-33830</t>
  </si>
  <si>
    <t>19-14739-52762</t>
  </si>
  <si>
    <t>005-26157L1832-C</t>
  </si>
  <si>
    <t>005-26161L38156-A</t>
  </si>
  <si>
    <t>DFL_3143092</t>
  </si>
  <si>
    <t>005-26161L40511-A</t>
  </si>
  <si>
    <t>DFL_8091251</t>
  </si>
  <si>
    <t>005-26163L6941-A</t>
  </si>
  <si>
    <t>DFL_6130011</t>
  </si>
  <si>
    <t>PO-098-13181334503033960</t>
  </si>
  <si>
    <t>405-3602880-5769933</t>
  </si>
  <si>
    <t>Idealux_8021696286747</t>
  </si>
  <si>
    <t>Motore A Scoppio 210cc - KD638</t>
  </si>
  <si>
    <t>PO-098-15302615096952004</t>
  </si>
  <si>
    <t>PO-098-15566432097912545</t>
  </si>
  <si>
    <t>406-8242977-8706715</t>
  </si>
  <si>
    <t>408-8197761-2109126</t>
  </si>
  <si>
    <t>PO-098-15129992205430987</t>
  </si>
  <si>
    <t>405-4245498-9581101</t>
  </si>
  <si>
    <t>PO-098-15782033572473306</t>
  </si>
  <si>
    <t>PO-098-15422939274871161</t>
  </si>
  <si>
    <t>PO-098-15332083226231892</t>
  </si>
  <si>
    <t>PO-098-15177379057270766</t>
  </si>
  <si>
    <t>PO-098-15448858381431068</t>
  </si>
  <si>
    <t>402-7840659-0627518</t>
  </si>
  <si>
    <t>405-1798315-5343553</t>
  </si>
  <si>
    <t>403-6200969-3398706</t>
  </si>
  <si>
    <t>171-3680384-7061956</t>
  </si>
  <si>
    <t>PO-098-09788675268470119</t>
  </si>
  <si>
    <t>PO-098-09899917627511310</t>
  </si>
  <si>
    <t>PO-098-10186859006073760</t>
  </si>
  <si>
    <t>405-3519806-9698742</t>
  </si>
  <si>
    <t>PO-098-20947284365431065</t>
  </si>
  <si>
    <t>PO-098-21046422377592456</t>
  </si>
  <si>
    <t>408-1436865-3010759</t>
  </si>
  <si>
    <t>171-6812310-2376325</t>
  </si>
  <si>
    <t>402-2481360-6046749</t>
  </si>
  <si>
    <t>407-5379085-4064321</t>
  </si>
  <si>
    <t>404-1099546-7461157</t>
  </si>
  <si>
    <t>PO-098-01522761979510234</t>
  </si>
  <si>
    <t>406-1697749-8323549</t>
  </si>
  <si>
    <t>PO-098-01913685571193856</t>
  </si>
  <si>
    <t>PO-098-01825655189112335</t>
  </si>
  <si>
    <t>403-2877387-9569111</t>
  </si>
  <si>
    <t>PO-098-12872165573752090</t>
  </si>
  <si>
    <t>PO-098-06947254968950606</t>
  </si>
  <si>
    <t>405-7460581-3220337</t>
  </si>
  <si>
    <t>PO-098-07312193902712526</t>
  </si>
  <si>
    <t>PO-098-07290734307192654</t>
  </si>
  <si>
    <t>407-5747361-9433952</t>
  </si>
  <si>
    <t>405-5122931-6372310</t>
  </si>
  <si>
    <t>406-3293297-6390760</t>
  </si>
  <si>
    <t>171-9275540-1829942</t>
  </si>
  <si>
    <t>408-5092039-4524320</t>
  </si>
  <si>
    <t>402-4462931-6389967</t>
  </si>
  <si>
    <t>PO-098-14701297306231492</t>
  </si>
  <si>
    <t>PO-098-14523118718070442</t>
  </si>
  <si>
    <t>PO-098-14630643960951851</t>
  </si>
  <si>
    <t>407-8857239-3799530</t>
  </si>
  <si>
    <t>PO-098-20166680138871556</t>
  </si>
  <si>
    <t>406-5758645-8230746</t>
  </si>
  <si>
    <t>PO-098-00982593598071406</t>
  </si>
  <si>
    <t>PO-098-01318404711033372</t>
  </si>
  <si>
    <t>PO-098-12289612104313517</t>
  </si>
  <si>
    <t>408-2474164-4199504</t>
  </si>
  <si>
    <t>402-8730291-2823566</t>
  </si>
  <si>
    <t>402-1591280-5352327</t>
  </si>
  <si>
    <t>PO-098-06658175652472203</t>
  </si>
  <si>
    <t>PO-098-06451981783671446</t>
  </si>
  <si>
    <t>171-1817710-0753144</t>
  </si>
  <si>
    <t>405-5078039-3053912</t>
  </si>
  <si>
    <t>408-2225868-0672353</t>
  </si>
  <si>
    <t>DFL_3143164</t>
  </si>
  <si>
    <t>Idealux_8021696101491</t>
  </si>
  <si>
    <t>DFL_1165539</t>
  </si>
  <si>
    <t>DFL_1069496</t>
  </si>
  <si>
    <t>Idealux_8021696138657</t>
  </si>
  <si>
    <t>03-14800-19106</t>
  </si>
  <si>
    <t>DFL_302586</t>
  </si>
  <si>
    <t>23-14785-18986</t>
  </si>
  <si>
    <t>15-14802-64083</t>
  </si>
  <si>
    <t xml:space="preserve">Torcia frontale </t>
  </si>
  <si>
    <t>25-14795-15348</t>
  </si>
  <si>
    <t>005-26165L40283-A</t>
  </si>
  <si>
    <t>DFL_1043604</t>
  </si>
  <si>
    <t>005-26170L40021-A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</si>
</sst>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8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</patternFill>
    </fill>
    <fill>
      <patternFill patternType="solid">
        <fgColor theme="9" tint="-0.499984740745262"/>
        <bgColor theme="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 style="thin">
        <color theme="4" tint="-0.249977111117893"/>
      </right>
      <top/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thin">
        <color theme="4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1" applyNumberFormat="0" applyFill="0" applyAlignment="0" applyProtection="0"/>
    <xf numFmtId="44" fontId="1" fillId="0" borderId="0" applyFont="0" applyFill="0" applyBorder="0" applyAlignment="0" applyProtection="0"/>
    <xf numFmtId="0" fontId="12" fillId="4" borderId="0" applyNumberFormat="0" applyBorder="0" applyAlignment="0" applyProtection="0"/>
  </cellStyleXfs>
  <cellXfs count="103">
    <xf numFmtId="0" fontId="0" fillId="0" borderId="0" xfId="0"/>
    <xf numFmtId="9" fontId="0" fillId="0" borderId="0" xfId="1" applyFont="1"/>
    <xf numFmtId="0" fontId="0" fillId="0" borderId="0" xfId="0" applyBorder="1"/>
    <xf numFmtId="0" fontId="5" fillId="2" borderId="3" xfId="0" applyFont="1" applyFill="1" applyBorder="1"/>
    <xf numFmtId="0" fontId="5" fillId="2" borderId="2" xfId="0" applyFont="1" applyFill="1" applyBorder="1"/>
    <xf numFmtId="0" fontId="5" fillId="2" borderId="4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0" fontId="0" fillId="0" borderId="5" xfId="0" applyBorder="1"/>
    <xf numFmtId="0" fontId="5" fillId="5" borderId="6" xfId="0" applyFont="1" applyFill="1" applyBorder="1"/>
    <xf numFmtId="0" fontId="5" fillId="5" borderId="6" xfId="0" applyFont="1" applyFill="1" applyBorder="1" applyAlignment="1">
      <alignment horizontal="center" vertical="center"/>
    </xf>
    <xf numFmtId="0" fontId="0" fillId="6" borderId="6" xfId="0" applyFont="1" applyFill="1" applyBorder="1"/>
    <xf numFmtId="164" fontId="0" fillId="6" borderId="6" xfId="0" applyNumberFormat="1" applyFont="1" applyFill="1" applyBorder="1"/>
    <xf numFmtId="2" fontId="0" fillId="6" borderId="6" xfId="0" applyNumberFormat="1" applyFont="1" applyFill="1" applyBorder="1"/>
    <xf numFmtId="2" fontId="0" fillId="6" borderId="6" xfId="0" applyNumberFormat="1" applyFont="1" applyFill="1" applyBorder="1" applyAlignment="1">
      <alignment horizontal="right" wrapText="1"/>
    </xf>
    <xf numFmtId="2" fontId="0" fillId="6" borderId="6" xfId="0" applyNumberFormat="1" applyFont="1" applyFill="1" applyBorder="1" applyAlignment="1">
      <alignment horizontal="center" vertical="center"/>
    </xf>
    <xf numFmtId="0" fontId="0" fillId="0" borderId="6" xfId="0" applyFont="1" applyBorder="1"/>
    <xf numFmtId="164" fontId="0" fillId="0" borderId="6" xfId="0" applyNumberFormat="1" applyFont="1" applyBorder="1"/>
    <xf numFmtId="2" fontId="0" fillId="0" borderId="6" xfId="0" applyNumberFormat="1" applyFont="1" applyBorder="1"/>
    <xf numFmtId="2" fontId="0" fillId="0" borderId="6" xfId="0" applyNumberFormat="1" applyFont="1" applyFill="1" applyBorder="1" applyAlignment="1">
      <alignment horizontal="right" wrapText="1"/>
    </xf>
    <xf numFmtId="2" fontId="0" fillId="0" borderId="6" xfId="0" applyNumberFormat="1" applyFont="1" applyFill="1" applyBorder="1" applyAlignment="1">
      <alignment horizontal="center" vertical="center"/>
    </xf>
    <xf numFmtId="2" fontId="0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/>
    <xf numFmtId="0" fontId="0" fillId="6" borderId="6" xfId="0" applyNumberFormat="1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2" fillId="4" borderId="3" xfId="4" applyBorder="1" applyAlignment="1">
      <alignment horizontal="center" vertical="center" wrapText="1"/>
    </xf>
    <xf numFmtId="0" fontId="12" fillId="4" borderId="2" xfId="4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0" fillId="0" borderId="7" xfId="0" applyNumberFormat="1" applyFont="1" applyFill="1" applyBorder="1" applyAlignment="1">
      <alignment horizontal="right" vertical="center"/>
    </xf>
    <xf numFmtId="164" fontId="0" fillId="0" borderId="6" xfId="0" applyNumberFormat="1" applyFon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0" fillId="0" borderId="7" xfId="0" applyFont="1" applyFill="1" applyBorder="1" applyAlignment="1">
      <alignment horizontal="left" vertical="center"/>
    </xf>
    <xf numFmtId="14" fontId="0" fillId="0" borderId="0" xfId="0" applyNumberFormat="1"/>
    <xf numFmtId="2" fontId="0" fillId="8" borderId="6" xfId="0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5" fillId="9" borderId="0" xfId="0" applyFont="1" applyFill="1" applyBorder="1" applyAlignment="1">
      <alignment horizontal="center" vertical="center"/>
    </xf>
    <xf numFmtId="0" fontId="0" fillId="9" borderId="0" xfId="0" applyFill="1" applyBorder="1"/>
    <xf numFmtId="14" fontId="0" fillId="7" borderId="0" xfId="0" applyNumberFormat="1" applyFont="1" applyFill="1" applyBorder="1" applyAlignment="1">
      <alignment horizontal="center" vertical="center"/>
    </xf>
    <xf numFmtId="0" fontId="0" fillId="7" borderId="0" xfId="0" applyFont="1" applyFill="1" applyBorder="1" applyAlignment="1">
      <alignment horizontal="center" vertical="center"/>
    </xf>
    <xf numFmtId="2" fontId="0" fillId="7" borderId="0" xfId="0" applyNumberFormat="1" applyFont="1" applyFill="1" applyBorder="1" applyAlignment="1">
      <alignment horizontal="center" vertical="center"/>
    </xf>
    <xf numFmtId="9" fontId="0" fillId="7" borderId="0" xfId="1" applyFont="1" applyFill="1" applyBorder="1" applyAlignment="1">
      <alignment horizontal="center" vertical="center"/>
    </xf>
    <xf numFmtId="164" fontId="0" fillId="7" borderId="0" xfId="3" applyNumberFormat="1" applyFont="1" applyFill="1" applyBorder="1" applyAlignment="1">
      <alignment horizontal="center" vertical="center"/>
    </xf>
    <xf numFmtId="164" fontId="0" fillId="7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0" borderId="0" xfId="0" applyFill="1" applyBorder="1"/>
    <xf numFmtId="14" fontId="0" fillId="10" borderId="0" xfId="0" applyNumberFormat="1" applyFont="1" applyFill="1" applyBorder="1" applyAlignment="1">
      <alignment horizontal="center" vertical="center"/>
    </xf>
    <xf numFmtId="0" fontId="0" fillId="10" borderId="0" xfId="0" applyFont="1" applyFill="1" applyBorder="1" applyAlignment="1">
      <alignment horizontal="center" vertical="center"/>
    </xf>
    <xf numFmtId="2" fontId="0" fillId="10" borderId="0" xfId="0" applyNumberFormat="1" applyFont="1" applyFill="1" applyBorder="1" applyAlignment="1">
      <alignment horizontal="center" vertical="center"/>
    </xf>
    <xf numFmtId="9" fontId="0" fillId="10" borderId="0" xfId="1" applyFont="1" applyFill="1" applyBorder="1" applyAlignment="1">
      <alignment horizontal="center" vertical="center"/>
    </xf>
    <xf numFmtId="164" fontId="0" fillId="10" borderId="0" xfId="3" applyNumberFormat="1" applyFont="1" applyFill="1" applyBorder="1" applyAlignment="1">
      <alignment horizontal="center" vertical="center"/>
    </xf>
    <xf numFmtId="164" fontId="0" fillId="10" borderId="0" xfId="0" applyNumberFormat="1" applyFont="1" applyFill="1" applyBorder="1" applyAlignment="1">
      <alignment horizontal="center" vertical="center"/>
    </xf>
    <xf numFmtId="0" fontId="0" fillId="7" borderId="0" xfId="0" applyFill="1" applyBorder="1"/>
    <xf numFmtId="0" fontId="0" fillId="7" borderId="0" xfId="0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4" xfId="0" pivotButton="1" applyBorder="1" applyAlignment="1">
      <alignment horizontal="center"/>
    </xf>
    <xf numFmtId="0" fontId="0" fillId="0" borderId="15" xfId="0" applyBorder="1" applyAlignment="1">
      <alignment horizontal="center"/>
    </xf>
    <xf numFmtId="164" fontId="9" fillId="0" borderId="16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6" xfId="0" pivotButton="1" applyBorder="1" applyAlignment="1">
      <alignment horizontal="center"/>
    </xf>
    <xf numFmtId="0" fontId="0" fillId="0" borderId="18" xfId="0" pivotButton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14" fontId="13" fillId="7" borderId="0" xfId="0" applyNumberFormat="1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2" fontId="13" fillId="7" borderId="0" xfId="0" applyNumberFormat="1" applyFont="1" applyFill="1" applyBorder="1" applyAlignment="1">
      <alignment horizontal="center" vertical="center"/>
    </xf>
    <xf numFmtId="164" fontId="13" fillId="7" borderId="0" xfId="3" applyNumberFormat="1" applyFont="1" applyFill="1" applyBorder="1" applyAlignment="1">
      <alignment horizontal="center" vertical="center"/>
    </xf>
    <xf numFmtId="9" fontId="13" fillId="7" borderId="0" xfId="1" applyFont="1" applyFill="1" applyBorder="1" applyAlignment="1">
      <alignment horizontal="center" vertical="center"/>
    </xf>
    <xf numFmtId="164" fontId="13" fillId="7" borderId="0" xfId="0" applyNumberFormat="1" applyFont="1" applyFill="1" applyBorder="1" applyAlignment="1">
      <alignment horizontal="center" vertical="center"/>
    </xf>
    <xf numFmtId="0" fontId="13" fillId="7" borderId="0" xfId="0" applyFont="1" applyFill="1" applyBorder="1"/>
    <xf numFmtId="14" fontId="14" fillId="10" borderId="0" xfId="0" applyNumberFormat="1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2" fontId="14" fillId="10" borderId="0" xfId="0" applyNumberFormat="1" applyFont="1" applyFill="1" applyBorder="1" applyAlignment="1">
      <alignment horizontal="center" vertical="center"/>
    </xf>
    <xf numFmtId="164" fontId="14" fillId="10" borderId="0" xfId="3" applyNumberFormat="1" applyFont="1" applyFill="1" applyBorder="1" applyAlignment="1">
      <alignment horizontal="center" vertical="center"/>
    </xf>
    <xf numFmtId="9" fontId="14" fillId="10" borderId="0" xfId="1" applyFont="1" applyFill="1" applyBorder="1" applyAlignment="1">
      <alignment horizontal="center" vertical="center"/>
    </xf>
    <xf numFmtId="164" fontId="14" fillId="10" borderId="0" xfId="0" applyNumberFormat="1" applyFont="1" applyFill="1" applyBorder="1" applyAlignment="1">
      <alignment horizontal="center" vertical="center"/>
    </xf>
    <xf numFmtId="0" fontId="14" fillId="10" borderId="0" xfId="0" applyFont="1" applyFill="1" applyBorder="1"/>
    <xf numFmtId="14" fontId="14" fillId="7" borderId="0" xfId="0" applyNumberFormat="1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2" fontId="14" fillId="7" borderId="0" xfId="0" applyNumberFormat="1" applyFont="1" applyFill="1" applyBorder="1" applyAlignment="1">
      <alignment horizontal="center" vertical="center"/>
    </xf>
    <xf numFmtId="164" fontId="14" fillId="7" borderId="0" xfId="3" applyNumberFormat="1" applyFont="1" applyFill="1" applyBorder="1" applyAlignment="1">
      <alignment horizontal="center" vertical="center"/>
    </xf>
    <xf numFmtId="9" fontId="14" fillId="7" borderId="0" xfId="1" applyFont="1" applyFill="1" applyBorder="1" applyAlignment="1">
      <alignment horizontal="center" vertical="center"/>
    </xf>
    <xf numFmtId="164" fontId="14" fillId="7" borderId="0" xfId="0" applyNumberFormat="1" applyFont="1" applyFill="1" applyBorder="1" applyAlignment="1">
      <alignment horizontal="center" vertical="center"/>
    </xf>
    <xf numFmtId="0" fontId="14" fillId="7" borderId="0" xfId="0" applyFont="1" applyFill="1" applyBorder="1"/>
    <xf numFmtId="164" fontId="0" fillId="0" borderId="0" xfId="0" applyNumberFormat="1"/>
    <xf numFmtId="0" fontId="4" fillId="0" borderId="8" xfId="2" applyBorder="1" applyAlignment="1">
      <alignment horizontal="center"/>
    </xf>
    <xf numFmtId="0" fontId="4" fillId="0" borderId="9" xfId="2" applyBorder="1" applyAlignment="1">
      <alignment horizontal="center"/>
    </xf>
    <xf numFmtId="0" fontId="4" fillId="0" borderId="0" xfId="2" applyBorder="1" applyAlignment="1">
      <alignment horizontal="center"/>
    </xf>
  </cellXfs>
  <cellStyles count="5">
    <cellStyle name="Neutrale" xfId="4" builtinId="28"/>
    <cellStyle name="Normale" xfId="0" builtinId="0"/>
    <cellStyle name="Percentuale" xfId="1" builtinId="5"/>
    <cellStyle name="Titolo 1" xfId="2" builtinId="16"/>
    <cellStyle name="Valuta" xfId="3" builtinId="4"/>
  </cellStyles>
  <dxfs count="24">
    <dxf>
      <border>
        <bottom style="thin">
          <color theme="4" tint="-0.249977111117893"/>
        </bottom>
      </border>
    </dxf>
    <dxf>
      <border>
        <left style="thin">
          <color theme="4" tint="-0.249977111117893"/>
        </left>
        <bottom style="thin">
          <color theme="4" tint="-0.249977111117893"/>
        </bottom>
      </border>
    </dxf>
    <dxf>
      <border>
        <bottom style="thin">
          <color theme="4" tint="-0.249977111117893"/>
        </bottom>
      </border>
    </dxf>
    <dxf>
      <border>
        <right style="thin">
          <color theme="4" tint="-0.249977111117893"/>
        </right>
        <bottom style="thin">
          <color theme="4" tint="-0.249977111117893"/>
        </bottom>
      </border>
    </dxf>
    <dxf>
      <border>
        <bottom style="thin">
          <color theme="4" tint="-0.249977111117893"/>
        </bottom>
      </border>
    </dxf>
    <dxf>
      <border>
        <left style="thin">
          <color theme="4" tint="-0.249977111117893"/>
        </left>
        <bottom style="thin">
          <color theme="4" tint="-0.249977111117893"/>
        </bottom>
      </border>
    </dxf>
    <dxf>
      <border>
        <bottom style="thin">
          <color theme="4" tint="-0.249977111117893"/>
        </bottom>
      </border>
    </dxf>
    <dxf>
      <border>
        <top style="thin">
          <color theme="4" tint="-0.249977111117893"/>
        </top>
      </border>
    </dxf>
    <dxf>
      <border>
        <top style="thin">
          <color theme="4" tint="-0.249977111117893"/>
        </top>
      </border>
    </dxf>
    <dxf>
      <border>
        <top style="thin">
          <color theme="4" tint="-0.249977111117893"/>
        </top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bottom style="thin">
          <color theme="4" tint="-0.249977111117893"/>
        </bottom>
      </border>
    </dxf>
    <dxf>
      <border>
        <right style="thin">
          <color theme="4" tint="-0.249977111117893"/>
        </right>
      </border>
    </dxf>
    <dxf>
      <border>
        <right style="thin">
          <color theme="4" tint="-0.249977111117893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alignment vertic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alignment horizontal="center"/>
    </dxf>
    <dxf>
      <alignment horizontal="center"/>
    </dxf>
    <dxf>
      <numFmt numFmtId="164" formatCode="#,##0.00\ &quot;€&quot;"/>
    </dxf>
  </dxfs>
  <tableStyles count="0" defaultTableStyle="TableStyleMedium2" defaultPivotStyle="PivotStyleLight16"/>
  <colors>
    <mruColors>
      <color rgb="FF1F4E78"/>
      <color rgb="FFFF5B5B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CO PROCACCINI" refreshedDate="46186.737433912036" createdVersion="8" refreshedVersion="8" minRefreshableVersion="3" recordCount="525" xr:uid="{C3728CD7-AB06-4A13-B767-9144314AA267}">
  <cacheSource type="worksheet">
    <worksheetSource ref="A1:Q9433" sheet="Ordini"/>
  </cacheSource>
  <cacheFields count="17">
    <cacheField name="Data ordine" numFmtId="0">
      <sharedItems containsDate="1" containsBlank="1" containsMixedTypes="1" minDate="2026-04-01T00:00:00" maxDate="2026-06-13T00:00:00" count="82">
        <d v="2026-04-01T00:00:00"/>
        <s v="02/04/2026"/>
        <s v="03/04/2026"/>
        <s v="04/04/2026"/>
        <d v="2026-04-04T00:00:00"/>
        <s v="05/04/2026"/>
        <s v="06/04/2026"/>
        <s v="07/04/2026"/>
        <s v="08/04/2026"/>
        <s v="09/04/2026"/>
        <s v="10/04/2026"/>
        <s v="11/04/2026"/>
        <d v="2026-04-11T00:00:00"/>
        <s v="12/04/2026"/>
        <d v="2026-04-12T00:00:00"/>
        <s v="14/04/2026"/>
        <d v="2026-04-15T00:00:00"/>
        <s v="15/04/2026"/>
        <s v="16/04/2026"/>
        <d v="2026-04-16T00:00:00"/>
        <s v="17/04/2026"/>
        <d v="2026-04-17T00:00:00"/>
        <d v="2026-04-18T00:00:00"/>
        <s v="18/04/2026"/>
        <s v="19/04/2026"/>
        <s v="20/04/2026"/>
        <d v="2026-04-20T00:00:00"/>
        <s v="21/04/2026"/>
        <s v="22/04/2026"/>
        <s v="23/04/2026"/>
        <s v="24/04/2026"/>
        <d v="2026-04-25T00:00:00"/>
        <s v="25/04/2026"/>
        <s v="26/04/2026"/>
        <s v="27/04/2026"/>
        <s v="28/04/2026"/>
        <s v="29/04/2026"/>
        <s v="30/04/2026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2T00:00:00"/>
        <d v="2026-05-20T00:00:00"/>
        <d v="2026-05-21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m/>
      </sharedItems>
    </cacheField>
    <cacheField name="Marketplace" numFmtId="0">
      <sharedItems containsBlank="1" count="6">
        <s v="Amazon"/>
        <s v="Temu"/>
        <s v="eBay"/>
        <s v="Leroy Merlin"/>
        <s v="Kaufland"/>
        <m/>
      </sharedItems>
    </cacheField>
    <cacheField name="Paese (Mercato)" numFmtId="0">
      <sharedItems containsBlank="1" count="4">
        <s v="IT"/>
        <s v="FR"/>
        <s v="DE"/>
        <m/>
      </sharedItems>
    </cacheField>
    <cacheField name="Order ID (Codice Market)" numFmtId="0">
      <sharedItems containsBlank="1"/>
    </cacheField>
    <cacheField name="Prodotto (SKU o nome)" numFmtId="0">
      <sharedItems containsBlank="1"/>
    </cacheField>
    <cacheField name="Quantità ordinata" numFmtId="0">
      <sharedItems containsString="0" containsBlank="1" containsNumber="1" containsInteger="1" minValue="1" maxValue="7"/>
    </cacheField>
    <cacheField name="Fatturato (Lordo)" numFmtId="0">
      <sharedItems containsString="0" containsBlank="1" containsNumber="1" minValue="8.57" maxValue="377.22"/>
    </cacheField>
    <cacheField name="Iva (%)" numFmtId="0">
      <sharedItems containsString="0" containsBlank="1" containsNumber="1" containsInteger="1" minValue="0" maxValue="0"/>
    </cacheField>
    <cacheField name="Imponibile" numFmtId="0">
      <sharedItems containsString="0" containsBlank="1" containsNumber="1" minValue="0" maxValue="377.22"/>
    </cacheField>
    <cacheField name="Fee (€)" numFmtId="0">
      <sharedItems containsString="0" containsBlank="1" containsNumber="1" minValue="0" maxValue="59.37"/>
    </cacheField>
    <cacheField name="Costo prodotto" numFmtId="0">
      <sharedItems containsString="0" containsBlank="1" containsNumber="1" minValue="0.54900000000000004" maxValue="227.21280000000002"/>
    </cacheField>
    <cacheField name="Costo logistico" numFmtId="0">
      <sharedItems containsString="0" containsBlank="1" containsNumber="1" minValue="0" maxValue="25.200000000000003"/>
    </cacheField>
    <cacheField name="Stato ordine" numFmtId="0">
      <sharedItems containsBlank="1" count="6">
        <s v="Pagato"/>
        <s v="RimborsatoReso"/>
        <s v="RimborsatoNoReso"/>
        <s v="Non pagato"/>
        <s v="Reso"/>
        <m/>
      </sharedItems>
    </cacheField>
    <cacheField name="Quantità resi effettiva" numFmtId="0">
      <sharedItems containsString="0" containsBlank="1" containsNumber="1" containsInteger="1" minValue="1" maxValue="1"/>
    </cacheField>
    <cacheField name="Costo totale" numFmtId="0">
      <sharedItems containsString="0" containsBlank="1" containsNumber="1" minValue="0" maxValue="280.01280000000003"/>
    </cacheField>
    <cacheField name="Utile " numFmtId="0">
      <sharedItems containsString="0" containsBlank="1" containsNumber="1" minValue="-39.65" maxValue="97.2072"/>
    </cacheField>
    <cacheField name="Decision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x v="0"/>
    <x v="0"/>
    <x v="0"/>
    <s v="403-0703493-4588300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1"/>
    <x v="0"/>
    <x v="0"/>
    <s v="171-9083991-8149103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1"/>
    <x v="0"/>
    <x v="0"/>
    <s v="171-9068873-5509917"/>
    <s v="Miscelatore Per Malta - KD541"/>
    <n v="1"/>
    <n v="51.99"/>
    <n v="0"/>
    <n v="51.99"/>
    <n v="8.49"/>
    <n v="20.970000000000002"/>
    <n v="4.8499999999999996"/>
    <x v="0"/>
    <m/>
    <n v="34.31"/>
    <n v="17.68"/>
    <s v="OK"/>
  </r>
  <r>
    <x v="1"/>
    <x v="0"/>
    <x v="0"/>
    <s v="405-5126325-5508363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1"/>
    <x v="0"/>
    <x v="0"/>
    <s v="405-2974653-4082717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1"/>
    <x v="1"/>
    <x v="0"/>
    <s v="PO-098-14133980777593211"/>
    <s v="Motosega a batteria 12&quot; - KD5125"/>
    <n v="1"/>
    <n v="59.72"/>
    <n v="0"/>
    <n v="59.72"/>
    <n v="0"/>
    <n v="32.049999999999997"/>
    <n v="5.87"/>
    <x v="0"/>
    <m/>
    <n v="37.919999999999995"/>
    <n v="21.800000000000004"/>
    <s v="OK"/>
  </r>
  <r>
    <x v="1"/>
    <x v="1"/>
    <x v="0"/>
    <s v="PO-098-13881093473911711"/>
    <s v="Cuociuova in Acciaio Inox - KD4118"/>
    <n v="1"/>
    <n v="23.68"/>
    <n v="0"/>
    <n v="23.68"/>
    <n v="0"/>
    <n v="10.82"/>
    <n v="4.7699999999999996"/>
    <x v="0"/>
    <m/>
    <n v="15.59"/>
    <n v="8.09"/>
    <s v="OK"/>
  </r>
  <r>
    <x v="1"/>
    <x v="2"/>
    <x v="0"/>
    <s v="20-14434-30598"/>
    <s v="Frullatore Elettrico a Immersione - KD4110"/>
    <n v="1"/>
    <n v="39.99"/>
    <n v="0"/>
    <n v="39.99"/>
    <n v="3.89"/>
    <n v="18.48"/>
    <n v="4.7699999999999996"/>
    <x v="0"/>
    <m/>
    <n v="27.14"/>
    <n v="12.850000000000001"/>
    <s v="OK"/>
  </r>
  <r>
    <x v="2"/>
    <x v="3"/>
    <x v="0"/>
    <s v="005-26091L15471-A"/>
    <s v="DFL_308440"/>
    <n v="2"/>
    <n v="18.760000000000002"/>
    <n v="0"/>
    <n v="18.760000000000002"/>
    <n v="2.81"/>
    <n v="4.5384000000000002"/>
    <n v="4.3600000000000003"/>
    <x v="0"/>
    <m/>
    <n v="11.708400000000001"/>
    <n v="7.0516000000000005"/>
    <s v="OK"/>
  </r>
  <r>
    <x v="2"/>
    <x v="0"/>
    <x v="0"/>
    <s v="171-1434651-1557114"/>
    <s v="Idealux_8021696308227"/>
    <n v="4"/>
    <n v="48"/>
    <n v="0"/>
    <n v="48"/>
    <n v="9.0500000000000007"/>
    <n v="30.76"/>
    <n v="4.7699999999999996"/>
    <x v="0"/>
    <m/>
    <n v="44.58"/>
    <n v="3.4200000000000017"/>
    <s v="OK"/>
  </r>
  <r>
    <x v="2"/>
    <x v="1"/>
    <x v="0"/>
    <s v="PO-098-08685015895674008"/>
    <s v="Barra e lama - KD10152"/>
    <n v="1"/>
    <n v="21.53"/>
    <n v="0"/>
    <n v="21.53"/>
    <n v="0"/>
    <n v="8.08"/>
    <n v="4.7699999999999996"/>
    <x v="0"/>
    <m/>
    <n v="12.85"/>
    <n v="8.6800000000000015"/>
    <s v="OK"/>
  </r>
  <r>
    <x v="2"/>
    <x v="1"/>
    <x v="0"/>
    <s v="PO-098-08842739400312172"/>
    <s v="DFL_805061"/>
    <n v="1"/>
    <n v="54.19"/>
    <n v="0"/>
    <n v="54.19"/>
    <n v="0"/>
    <n v="42.541399999999996"/>
    <n v="12.5"/>
    <x v="0"/>
    <m/>
    <n v="55.041399999999996"/>
    <n v="-0.85139999999999816"/>
    <s v="DA EVITARE"/>
  </r>
  <r>
    <x v="2"/>
    <x v="2"/>
    <x v="0"/>
    <s v="27-14428-41941"/>
    <s v="Miscelatore Per Malta - KD541"/>
    <n v="1"/>
    <n v="46.03"/>
    <n v="0"/>
    <n v="46.03"/>
    <n v="4.42"/>
    <n v="20.970000000000002"/>
    <n v="4.8499999999999996"/>
    <x v="0"/>
    <m/>
    <n v="30.240000000000002"/>
    <n v="15.79"/>
    <s v="OK"/>
  </r>
  <r>
    <x v="3"/>
    <x v="4"/>
    <x v="1"/>
    <s v="MQD8795"/>
    <s v="Idealux_8021696122854"/>
    <n v="1"/>
    <n v="42.24"/>
    <n v="0"/>
    <n v="42.24"/>
    <n v="5.49"/>
    <n v="19.52"/>
    <n v="9.01"/>
    <x v="0"/>
    <m/>
    <n v="34.019999999999996"/>
    <n v="8.220000000000006"/>
    <s v="OK"/>
  </r>
  <r>
    <x v="4"/>
    <x v="4"/>
    <x v="2"/>
    <s v="MDZCR95"/>
    <s v="Idealux_8021696268095"/>
    <n v="1"/>
    <n v="207.1"/>
    <n v="0"/>
    <n v="207.1"/>
    <n v="26.92"/>
    <n v="124.26"/>
    <n v="8.08"/>
    <x v="0"/>
    <m/>
    <n v="159.26000000000002"/>
    <n v="47.839999999999975"/>
    <s v="OK"/>
  </r>
  <r>
    <x v="3"/>
    <x v="0"/>
    <x v="0"/>
    <s v="408-2513706-1853919"/>
    <s v="Motosega a batteria 12&quot; - KD5125"/>
    <n v="1"/>
    <n v="68.900000000000006"/>
    <n v="0"/>
    <n v="68.900000000000006"/>
    <n v="11.26"/>
    <n v="32.049999999999997"/>
    <n v="5.87"/>
    <x v="0"/>
    <m/>
    <n v="49.179999999999993"/>
    <n v="19.720000000000013"/>
    <s v="OK"/>
  </r>
  <r>
    <x v="3"/>
    <x v="1"/>
    <x v="0"/>
    <s v="PO-098-08583267169910582"/>
    <s v="Cuociuova in Acciaio Inox - KD4118"/>
    <n v="1"/>
    <n v="23.68"/>
    <n v="0"/>
    <n v="23.68"/>
    <n v="0"/>
    <n v="10.82"/>
    <n v="4.7699999999999996"/>
    <x v="0"/>
    <m/>
    <n v="15.59"/>
    <n v="8.09"/>
    <s v="OK"/>
  </r>
  <r>
    <x v="5"/>
    <x v="0"/>
    <x v="0"/>
    <s v="407-9002825-8868322"/>
    <s v="Idealux_8021696096728"/>
    <n v="2"/>
    <n v="52"/>
    <n v="0"/>
    <n v="52"/>
    <n v="9.7899999999999991"/>
    <n v="30.77"/>
    <n v="4.7699999999999996"/>
    <x v="0"/>
    <m/>
    <n v="45.33"/>
    <n v="6.6700000000000017"/>
    <s v="OK"/>
  </r>
  <r>
    <x v="5"/>
    <x v="0"/>
    <x v="0"/>
    <s v="405-5798018-5661920"/>
    <s v="Idealux_8021696115320"/>
    <n v="4"/>
    <n v="160"/>
    <n v="0"/>
    <n v="160"/>
    <n v="30.16"/>
    <n v="94.67"/>
    <n v="4.7699999999999996"/>
    <x v="0"/>
    <m/>
    <n v="129.6"/>
    <n v="30.400000000000006"/>
    <s v="OK"/>
  </r>
  <r>
    <x v="5"/>
    <x v="0"/>
    <x v="0"/>
    <s v="402-2940974-1252331"/>
    <s v="Miscelatore Per Malta - KD541"/>
    <n v="1"/>
    <n v="51.99"/>
    <n v="0"/>
    <n v="51.99"/>
    <n v="8.49"/>
    <n v="20.970000000000002"/>
    <n v="4.8499999999999996"/>
    <x v="0"/>
    <m/>
    <n v="34.31"/>
    <n v="17.68"/>
    <s v="OK"/>
  </r>
  <r>
    <x v="5"/>
    <x v="0"/>
    <x v="0"/>
    <s v="408-1873729-0797121"/>
    <s v="Miscelatore Per Malta - KD541"/>
    <n v="1"/>
    <n v="51.99"/>
    <n v="0"/>
    <n v="51.99"/>
    <n v="8.49"/>
    <n v="20.970000000000002"/>
    <n v="4.8499999999999996"/>
    <x v="0"/>
    <m/>
    <n v="34.31"/>
    <n v="17.68"/>
    <s v="OK"/>
  </r>
  <r>
    <x v="5"/>
    <x v="1"/>
    <x v="0"/>
    <s v="PO-098-00623920809592840"/>
    <s v="DFL_6129346"/>
    <n v="1"/>
    <n v="17.27"/>
    <n v="0"/>
    <n v="17.27"/>
    <n v="0"/>
    <n v="10.918999999999999"/>
    <n v="4.3600000000000003"/>
    <x v="0"/>
    <m/>
    <n v="15.279"/>
    <n v="1.9909999999999997"/>
    <s v="OK"/>
  </r>
  <r>
    <x v="5"/>
    <x v="2"/>
    <x v="0"/>
    <s v="25-14439-05404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6"/>
    <x v="0"/>
    <x v="0"/>
    <s v="407-7524359-7607559"/>
    <s v="DFL_5115472"/>
    <n v="1"/>
    <n v="23.5"/>
    <n v="0"/>
    <n v="23.5"/>
    <n v="3.84"/>
    <n v="10.504199999999999"/>
    <n v="4.3600000000000003"/>
    <x v="0"/>
    <m/>
    <n v="18.7042"/>
    <n v="4.7957999999999998"/>
    <s v="OK"/>
  </r>
  <r>
    <x v="6"/>
    <x v="1"/>
    <x v="0"/>
    <s v="PO-098-11163278853751652"/>
    <s v="Barra e lama - KD10152"/>
    <n v="1"/>
    <n v="21.53"/>
    <n v="0"/>
    <n v="21.53"/>
    <n v="0"/>
    <n v="8.08"/>
    <n v="4.7699999999999996"/>
    <x v="0"/>
    <m/>
    <n v="12.85"/>
    <n v="8.6800000000000015"/>
    <s v="OK"/>
  </r>
  <r>
    <x v="6"/>
    <x v="2"/>
    <x v="0"/>
    <s v="01-14478-64734"/>
    <s v="Miscelatore Per Malta - KD541"/>
    <n v="1"/>
    <n v="46"/>
    <n v="0"/>
    <n v="46"/>
    <n v="4.42"/>
    <n v="20.970000000000002"/>
    <n v="4.8499999999999996"/>
    <x v="0"/>
    <m/>
    <n v="30.240000000000002"/>
    <n v="15.759999999999998"/>
    <s v="OK"/>
  </r>
  <r>
    <x v="7"/>
    <x v="0"/>
    <x v="0"/>
    <s v="408-5892501-7549110"/>
    <s v="Microonde 30L - KD4111"/>
    <n v="1"/>
    <n v="89.99"/>
    <n v="0"/>
    <n v="89.99"/>
    <n v="16.98"/>
    <n v="38.61"/>
    <n v="8.07"/>
    <x v="0"/>
    <m/>
    <n v="63.660000000000004"/>
    <n v="26.329999999999991"/>
    <s v="OK"/>
  </r>
  <r>
    <x v="7"/>
    <x v="0"/>
    <x v="0"/>
    <s v="403-6843822-0369147"/>
    <s v="DFL_6000652"/>
    <n v="1"/>
    <n v="44.34"/>
    <n v="0"/>
    <n v="44.34"/>
    <n v="8.3699999999999992"/>
    <n v="28.852999999999998"/>
    <n v="4.8499999999999996"/>
    <x v="0"/>
    <m/>
    <n v="42.073"/>
    <n v="2.267000000000003"/>
    <s v="OK"/>
  </r>
  <r>
    <x v="7"/>
    <x v="0"/>
    <x v="0"/>
    <s v="171-1471352-6610756"/>
    <s v="Idealux_8021696308227"/>
    <n v="1"/>
    <n v="12"/>
    <n v="0"/>
    <n v="12"/>
    <n v="2.27"/>
    <n v="7.69"/>
    <n v="4.7699999999999996"/>
    <x v="0"/>
    <m/>
    <n v="14.73"/>
    <n v="-2.7300000000000004"/>
    <s v="DA EVITARE"/>
  </r>
  <r>
    <x v="7"/>
    <x v="1"/>
    <x v="0"/>
    <s v="PO-098-05695429768310261"/>
    <s v="DFL_6048394"/>
    <n v="1"/>
    <n v="10.11"/>
    <n v="0"/>
    <n v="10.11"/>
    <n v="0"/>
    <n v="2.14"/>
    <n v="4.3600000000000003"/>
    <x v="0"/>
    <m/>
    <n v="6.5"/>
    <n v="3.6099999999999994"/>
    <s v="OK"/>
  </r>
  <r>
    <x v="8"/>
    <x v="0"/>
    <x v="0"/>
    <s v="407-0308255-0384374"/>
    <s v="DFL_612821"/>
    <n v="1"/>
    <n v="13.42"/>
    <n v="0"/>
    <n v="13.42"/>
    <n v="2.52"/>
    <n v="2.7815999999999996"/>
    <n v="4.3600000000000003"/>
    <x v="0"/>
    <m/>
    <n v="9.6616"/>
    <n v="3.7584"/>
    <s v="OK"/>
  </r>
  <r>
    <x v="8"/>
    <x v="0"/>
    <x v="0"/>
    <s v="407-0792167-9944357"/>
    <s v="Miscelatore Per Malta - KD541"/>
    <n v="1"/>
    <n v="51.99"/>
    <n v="0"/>
    <n v="51.99"/>
    <n v="8.5"/>
    <n v="20.970000000000002"/>
    <n v="4.8499999999999996"/>
    <x v="0"/>
    <m/>
    <n v="34.32"/>
    <n v="17.670000000000002"/>
    <s v="OK"/>
  </r>
  <r>
    <x v="8"/>
    <x v="1"/>
    <x v="0"/>
    <s v="PO-098-16586828216951967"/>
    <s v="DFL_6129346"/>
    <n v="1"/>
    <n v="17.27"/>
    <n v="0"/>
    <n v="17.27"/>
    <n v="0"/>
    <n v="10.918999999999999"/>
    <n v="4.3600000000000003"/>
    <x v="0"/>
    <m/>
    <n v="15.279"/>
    <n v="1.9909999999999997"/>
    <s v="OK"/>
  </r>
  <r>
    <x v="9"/>
    <x v="3"/>
    <x v="0"/>
    <s v="005-26099L16250-A"/>
    <s v="DFL_1043600"/>
    <n v="1"/>
    <n v="9.4600000000000009"/>
    <n v="0"/>
    <n v="9.4600000000000009"/>
    <n v="1.1399999999999999"/>
    <n v="2.3912"/>
    <n v="4.3600000000000003"/>
    <x v="0"/>
    <m/>
    <n v="7.8912000000000004"/>
    <n v="1.5688000000000004"/>
    <s v="OK"/>
  </r>
  <r>
    <x v="10"/>
    <x v="1"/>
    <x v="0"/>
    <s v="PO-098-15215447391352013"/>
    <s v="DFL_6129346"/>
    <n v="1"/>
    <n v="17.27"/>
    <n v="0"/>
    <n v="17.27"/>
    <n v="0"/>
    <n v="10.918999999999999"/>
    <n v="4.3600000000000003"/>
    <x v="0"/>
    <m/>
    <n v="15.279"/>
    <n v="1.9909999999999997"/>
    <s v="OK"/>
  </r>
  <r>
    <x v="10"/>
    <x v="1"/>
    <x v="0"/>
    <s v="PO-098-15774412503672776"/>
    <s v="Cuociuova in Acciaio Inox - KD4118"/>
    <n v="1"/>
    <n v="25.93"/>
    <n v="0"/>
    <n v="25.93"/>
    <n v="0"/>
    <n v="10.82"/>
    <n v="4.7699999999999996"/>
    <x v="0"/>
    <m/>
    <n v="15.59"/>
    <n v="10.34"/>
    <s v="OK"/>
  </r>
  <r>
    <x v="11"/>
    <x v="1"/>
    <x v="0"/>
    <s v="PO-098-09877731794550101"/>
    <s v="DFL_6129346"/>
    <n v="1"/>
    <n v="17.27"/>
    <n v="0"/>
    <n v="17.27"/>
    <n v="0"/>
    <n v="10.918999999999999"/>
    <n v="4.3600000000000003"/>
    <x v="0"/>
    <m/>
    <n v="15.279"/>
    <n v="1.9909999999999997"/>
    <s v="OK"/>
  </r>
  <r>
    <x v="11"/>
    <x v="1"/>
    <x v="0"/>
    <s v="PO-098-09667648343671161"/>
    <s v="DFL_6129340"/>
    <n v="1"/>
    <n v="13.59"/>
    <n v="0"/>
    <n v="13.59"/>
    <n v="0"/>
    <n v="5.8559999999999999"/>
    <n v="4.3600000000000003"/>
    <x v="0"/>
    <m/>
    <n v="10.216000000000001"/>
    <n v="3.3739999999999988"/>
    <s v="OK"/>
  </r>
  <r>
    <x v="11"/>
    <x v="1"/>
    <x v="0"/>
    <s v="PO-098-09899540690550995"/>
    <s v="Magazzino_05"/>
    <n v="1"/>
    <n v="13.93"/>
    <n v="0"/>
    <n v="13.93"/>
    <n v="0"/>
    <n v="6"/>
    <n v="4.7699999999999996"/>
    <x v="0"/>
    <m/>
    <n v="10.77"/>
    <n v="3.16"/>
    <s v="OK"/>
  </r>
  <r>
    <x v="11"/>
    <x v="1"/>
    <x v="0"/>
    <s v="PO-098-09673381391991191"/>
    <s v="DFL_805061"/>
    <n v="1"/>
    <n v="54.19"/>
    <n v="0"/>
    <n v="54.19"/>
    <n v="0"/>
    <n v="42.541399999999996"/>
    <n v="12.5"/>
    <x v="0"/>
    <m/>
    <n v="55.041399999999996"/>
    <n v="-0.85139999999999816"/>
    <s v="DA EVITARE"/>
  </r>
  <r>
    <x v="12"/>
    <x v="3"/>
    <x v="0"/>
    <s v="005-26101L409-A"/>
    <s v="DFL_406754"/>
    <n v="1"/>
    <n v="8.57"/>
    <n v="0"/>
    <n v="8.57"/>
    <n v="0.86"/>
    <n v="0.54900000000000004"/>
    <n v="4.3600000000000003"/>
    <x v="0"/>
    <m/>
    <n v="5.7690000000000001"/>
    <n v="2.8010000000000002"/>
    <s v="OK"/>
  </r>
  <r>
    <x v="13"/>
    <x v="0"/>
    <x v="0"/>
    <s v="402-4903117-5330701"/>
    <s v="DFL_6000652"/>
    <n v="1"/>
    <n v="44.34"/>
    <n v="0"/>
    <n v="44.34"/>
    <n v="8.35"/>
    <n v="28.852999999999998"/>
    <n v="4.8499999999999996"/>
    <x v="0"/>
    <m/>
    <n v="42.052999999999997"/>
    <n v="2.2870000000000061"/>
    <s v="OK"/>
  </r>
  <r>
    <x v="13"/>
    <x v="1"/>
    <x v="0"/>
    <s v="PO-098-21048769216633978"/>
    <s v="DFL_6129340"/>
    <n v="1"/>
    <n v="13.8"/>
    <n v="0"/>
    <n v="13.8"/>
    <n v="0"/>
    <n v="5.8559999999999999"/>
    <n v="4.3600000000000003"/>
    <x v="0"/>
    <m/>
    <n v="10.216000000000001"/>
    <n v="3.5839999999999996"/>
    <s v="OK"/>
  </r>
  <r>
    <x v="13"/>
    <x v="1"/>
    <x v="0"/>
    <s v="PO-098-20775638431351574"/>
    <s v="DFL_805061"/>
    <n v="1"/>
    <n v="54.19"/>
    <n v="0"/>
    <n v="54.19"/>
    <n v="0"/>
    <n v="42.541399999999996"/>
    <n v="12.5"/>
    <x v="0"/>
    <m/>
    <n v="55.041399999999996"/>
    <n v="-0.85139999999999816"/>
    <s v="DA EVITARE"/>
  </r>
  <r>
    <x v="13"/>
    <x v="2"/>
    <x v="0"/>
    <s v="03-14504-82412"/>
    <s v="Crick auto 2,5 T - WDS2490"/>
    <n v="1"/>
    <n v="55"/>
    <n v="0"/>
    <n v="55"/>
    <n v="5.2200000000000006"/>
    <n v="24.03"/>
    <n v="8.4"/>
    <x v="0"/>
    <m/>
    <n v="37.65"/>
    <n v="17.350000000000001"/>
    <s v="OK"/>
  </r>
  <r>
    <x v="14"/>
    <x v="3"/>
    <x v="0"/>
    <s v="005-26102L11873-A"/>
    <s v="DFL_900610"/>
    <n v="1"/>
    <n v="14.51"/>
    <n v="0"/>
    <n v="14.51"/>
    <n v="2.1800000000000002"/>
    <n v="4.88"/>
    <n v="4.3600000000000003"/>
    <x v="0"/>
    <m/>
    <n v="11.420000000000002"/>
    <n v="3.0899999999999981"/>
    <s v="OK"/>
  </r>
  <r>
    <x v="15"/>
    <x v="0"/>
    <x v="0"/>
    <s v="405-6360802-8896358"/>
    <s v="DFL_612527"/>
    <n v="2"/>
    <n v="29.4"/>
    <n v="0"/>
    <n v="29.4"/>
    <n v="4.79"/>
    <n v="14.8352"/>
    <n v="4.3600000000000003"/>
    <x v="0"/>
    <m/>
    <n v="23.985199999999999"/>
    <n v="5.4147999999999996"/>
    <s v="OK"/>
  </r>
  <r>
    <x v="15"/>
    <x v="0"/>
    <x v="0"/>
    <s v="404-0082468-0194704"/>
    <s v="DFL_612821"/>
    <n v="1"/>
    <n v="13.42"/>
    <n v="0"/>
    <n v="13.42"/>
    <n v="2.52"/>
    <n v="2.7815999999999996"/>
    <n v="4.3600000000000003"/>
    <x v="0"/>
    <m/>
    <n v="9.6616"/>
    <n v="3.7584"/>
    <s v="OK"/>
  </r>
  <r>
    <x v="16"/>
    <x v="3"/>
    <x v="0"/>
    <s v="005-26104L3011-A"/>
    <s v="DFL_1045434"/>
    <n v="2"/>
    <n v="183.96"/>
    <n v="0"/>
    <n v="183.96"/>
    <n v="22.08"/>
    <n v="106.43279999999999"/>
    <n v="23.24"/>
    <x v="0"/>
    <m/>
    <n v="151.75279999999998"/>
    <n v="32.207200000000029"/>
    <s v="OK"/>
  </r>
  <r>
    <x v="17"/>
    <x v="0"/>
    <x v="0"/>
    <s v="405-4498096-1823549"/>
    <s v="DFL_6237209"/>
    <n v="1"/>
    <n v="17.61"/>
    <n v="0"/>
    <n v="17.61"/>
    <n v="1.77"/>
    <n v="5.819399999999999"/>
    <n v="4.3600000000000003"/>
    <x v="0"/>
    <m/>
    <n v="11.949400000000001"/>
    <n v="5.6605999999999987"/>
    <s v="OK"/>
  </r>
  <r>
    <x v="17"/>
    <x v="0"/>
    <x v="0"/>
    <s v="408-8782064-0290726"/>
    <s v="DFL_4048740"/>
    <n v="1"/>
    <n v="28.31"/>
    <n v="0"/>
    <n v="28.31"/>
    <n v="5.34"/>
    <n v="1.3907999999999998"/>
    <n v="4.3600000000000003"/>
    <x v="0"/>
    <m/>
    <n v="11.0908"/>
    <n v="17.219200000000001"/>
    <s v="OK"/>
  </r>
  <r>
    <x v="17"/>
    <x v="0"/>
    <x v="0"/>
    <s v="406-9180332-8317126"/>
    <s v="Idealux_8021696155869"/>
    <n v="1"/>
    <n v="27"/>
    <n v="0"/>
    <n v="27"/>
    <n v="5.08"/>
    <n v="15.969799999999999"/>
    <n v="4.7699999999999996"/>
    <x v="0"/>
    <m/>
    <n v="25.819799999999997"/>
    <n v="1.1802000000000028"/>
    <s v="OK"/>
  </r>
  <r>
    <x v="17"/>
    <x v="0"/>
    <x v="0"/>
    <s v="406-1448069-0327561"/>
    <s v="Idealux_8021696155869"/>
    <n v="2"/>
    <n v="54"/>
    <n v="0"/>
    <n v="54"/>
    <n v="10.17"/>
    <n v="31.939599999999999"/>
    <n v="4.7699999999999996"/>
    <x v="0"/>
    <m/>
    <n v="46.879599999999996"/>
    <n v="7.1204000000000036"/>
    <s v="OK"/>
  </r>
  <r>
    <x v="18"/>
    <x v="0"/>
    <x v="0"/>
    <s v="404-6947475-5997146"/>
    <s v="DFL_5115472"/>
    <n v="1"/>
    <n v="23.5"/>
    <n v="0"/>
    <n v="23.5"/>
    <n v="3.85"/>
    <n v="10.504199999999999"/>
    <n v="4.3600000000000003"/>
    <x v="0"/>
    <m/>
    <n v="18.714199999999998"/>
    <n v="4.7858000000000018"/>
    <s v="OK"/>
  </r>
  <r>
    <x v="18"/>
    <x v="0"/>
    <x v="0"/>
    <s v="406-7141321-2663565"/>
    <s v="DFL_6000652"/>
    <n v="1"/>
    <n v="44.34"/>
    <n v="0"/>
    <n v="44.34"/>
    <n v="8.3699999999999992"/>
    <n v="28.852999999999998"/>
    <n v="4.8499999999999996"/>
    <x v="0"/>
    <m/>
    <n v="42.073"/>
    <n v="2.267000000000003"/>
    <s v="OK"/>
  </r>
  <r>
    <x v="18"/>
    <x v="0"/>
    <x v="0"/>
    <s v="404-0998465-7732319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18"/>
    <x v="0"/>
    <x v="0"/>
    <s v="408-0167019-9704314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18"/>
    <x v="1"/>
    <x v="0"/>
    <s v="PO-098-18510092941432918"/>
    <s v="Crick auto 2,5 T - WDS2490"/>
    <n v="1"/>
    <n v="49.95"/>
    <n v="0"/>
    <n v="49.95"/>
    <n v="0"/>
    <n v="24.03"/>
    <n v="8.4"/>
    <x v="0"/>
    <m/>
    <n v="32.43"/>
    <n v="17.520000000000003"/>
    <s v="OK"/>
  </r>
  <r>
    <x v="18"/>
    <x v="2"/>
    <x v="0"/>
    <s v="27-14488-51513"/>
    <s v="Decespugliatore a scoppio - KD5044"/>
    <n v="1"/>
    <n v="94.99"/>
    <n v="0"/>
    <n v="94.99"/>
    <n v="8.75"/>
    <n v="50"/>
    <n v="8.8000000000000007"/>
    <x v="0"/>
    <m/>
    <n v="67.55"/>
    <n v="27.439999999999998"/>
    <s v="OK"/>
  </r>
  <r>
    <x v="19"/>
    <x v="4"/>
    <x v="2"/>
    <s v="MYCTH55"/>
    <s v="Idealux_8021696200484"/>
    <n v="1"/>
    <n v="224.99"/>
    <n v="0"/>
    <n v="224.99"/>
    <n v="29.95"/>
    <n v="136.67660000000001"/>
    <n v="9.61"/>
    <x v="0"/>
    <m/>
    <n v="176.23660000000001"/>
    <n v="48.753399999999999"/>
    <s v="OK"/>
  </r>
  <r>
    <x v="20"/>
    <x v="0"/>
    <x v="0"/>
    <s v="171-7040228-2704363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20"/>
    <x v="0"/>
    <x v="0"/>
    <s v="406-2138488-9420330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0"/>
    <x v="0"/>
    <x v="0"/>
    <s v="404-7160206-2620333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0"/>
    <x v="0"/>
    <x v="0"/>
    <s v="403-7145509-8409151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0"/>
    <x v="0"/>
    <x v="0"/>
    <s v="171-0182674-7211541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0"/>
    <x v="0"/>
    <x v="0"/>
    <s v="405-3262813-9775554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0"/>
    <x v="1"/>
    <x v="0"/>
    <s v="PO-098-04102264397432589"/>
    <s v="Cuociuova in Acciaio Inox - KD4118"/>
    <n v="1"/>
    <n v="23.68"/>
    <n v="0"/>
    <n v="23.68"/>
    <n v="0"/>
    <n v="10.82"/>
    <n v="4.7699999999999996"/>
    <x v="0"/>
    <m/>
    <n v="15.59"/>
    <n v="8.09"/>
    <s v="OK"/>
  </r>
  <r>
    <x v="20"/>
    <x v="1"/>
    <x v="0"/>
    <s v="PO-098-03525859717751929"/>
    <s v="DFL_1066404"/>
    <n v="1"/>
    <n v="26.67"/>
    <n v="0"/>
    <n v="26.67"/>
    <n v="0"/>
    <n v="10.9678"/>
    <n v="4.3600000000000003"/>
    <x v="0"/>
    <m/>
    <n v="15.3278"/>
    <n v="11.342200000000002"/>
    <s v="OK"/>
  </r>
  <r>
    <x v="20"/>
    <x v="1"/>
    <x v="0"/>
    <s v="PO-098-03973865759352328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0"/>
    <x v="1"/>
    <x v="0"/>
    <s v="PO-098-04001805212792226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0"/>
    <x v="1"/>
    <x v="0"/>
    <s v="PO-098-03625355943030502"/>
    <s v="Decespugliatore a scoppio - KD5044"/>
    <n v="1"/>
    <n v="85.73"/>
    <n v="0"/>
    <n v="85.73"/>
    <n v="0"/>
    <n v="50"/>
    <n v="8.8000000000000007"/>
    <x v="0"/>
    <m/>
    <n v="58.8"/>
    <n v="26.930000000000007"/>
    <s v="OK"/>
  </r>
  <r>
    <x v="20"/>
    <x v="1"/>
    <x v="0"/>
    <s v="PO-098-03940672515193678"/>
    <s v="Motosega a Scoppio 58cc - KD10613"/>
    <n v="1"/>
    <n v="76.27"/>
    <n v="0"/>
    <n v="76.27"/>
    <n v="0"/>
    <n v="39.76"/>
    <n v="8.01"/>
    <x v="0"/>
    <m/>
    <n v="47.769999999999996"/>
    <n v="28.5"/>
    <s v="OK"/>
  </r>
  <r>
    <x v="20"/>
    <x v="1"/>
    <x v="0"/>
    <s v="PO-098-04113897759352646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20"/>
    <x v="1"/>
    <x v="0"/>
    <s v="PO-098-04109981916792607"/>
    <s v="Kit messa in fase motori diesel - KD12526"/>
    <n v="1"/>
    <n v="20.18"/>
    <n v="0"/>
    <n v="20.18"/>
    <n v="0"/>
    <n v="6.18"/>
    <n v="4.7699999999999996"/>
    <x v="0"/>
    <m/>
    <n v="10.95"/>
    <n v="9.23"/>
    <s v="OK"/>
  </r>
  <r>
    <x v="20"/>
    <x v="1"/>
    <x v="0"/>
    <s v="PO-098-03658078853750181"/>
    <s v="Decespugliatore a scoppio - KD5044"/>
    <n v="1"/>
    <n v="84.29"/>
    <n v="0"/>
    <n v="84.29"/>
    <n v="0"/>
    <n v="50"/>
    <n v="8.8000000000000007"/>
    <x v="0"/>
    <m/>
    <n v="58.8"/>
    <n v="25.490000000000009"/>
    <s v="OK"/>
  </r>
  <r>
    <x v="20"/>
    <x v="2"/>
    <x v="0"/>
    <s v="20-14500-50170"/>
    <s v="Decespugliatore a scoppio - KD5044"/>
    <n v="1"/>
    <n v="99.99"/>
    <n v="0"/>
    <n v="99.99"/>
    <n v="9.1999999999999993"/>
    <n v="50"/>
    <n v="8.8000000000000007"/>
    <x v="0"/>
    <m/>
    <n v="68"/>
    <n v="31.989999999999995"/>
    <s v="OK"/>
  </r>
  <r>
    <x v="21"/>
    <x v="3"/>
    <x v="0"/>
    <s v="005-26107L40798-A"/>
    <s v="DFL_7930740"/>
    <n v="1"/>
    <n v="38.729999999999997"/>
    <n v="0"/>
    <n v="38.729999999999997"/>
    <n v="4.6500000000000004"/>
    <n v="21.73"/>
    <n v="4.8499999999999996"/>
    <x v="0"/>
    <m/>
    <n v="31.230000000000004"/>
    <n v="7.4999999999999929"/>
    <s v="OK"/>
  </r>
  <r>
    <x v="22"/>
    <x v="3"/>
    <x v="0"/>
    <s v="005-26108L36728-B"/>
    <s v="DFL_700296"/>
    <n v="1"/>
    <n v="12.86"/>
    <n v="0"/>
    <n v="12.86"/>
    <n v="1.54"/>
    <n v="3.03"/>
    <n v="4.3600000000000003"/>
    <x v="0"/>
    <m/>
    <n v="8.93"/>
    <n v="3.9299999999999997"/>
    <s v="OK"/>
  </r>
  <r>
    <x v="23"/>
    <x v="0"/>
    <x v="0"/>
    <s v="402-2466195-5013909"/>
    <s v="Decespugliatore a batteria - KD5124"/>
    <n v="1"/>
    <n v="39.99"/>
    <n v="0"/>
    <n v="39.99"/>
    <n v="7.53"/>
    <n v="15.100000000000001"/>
    <n v="4.8499999999999996"/>
    <x v="0"/>
    <m/>
    <n v="27.480000000000004"/>
    <n v="12.509999999999998"/>
    <s v="OK"/>
  </r>
  <r>
    <x v="23"/>
    <x v="0"/>
    <x v="0"/>
    <s v="171-7240974-5463523"/>
    <s v="Decespugliatore a batteria - KD5124"/>
    <n v="1"/>
    <n v="39.99"/>
    <n v="0"/>
    <n v="39.99"/>
    <n v="7.53"/>
    <n v="15.100000000000001"/>
    <n v="4.8499999999999996"/>
    <x v="0"/>
    <m/>
    <n v="27.480000000000004"/>
    <n v="12.509999999999998"/>
    <s v="OK"/>
  </r>
  <r>
    <x v="23"/>
    <x v="0"/>
    <x v="0"/>
    <s v="402-3763510-2969117"/>
    <s v="Decespugliatore a batteria - KD5124"/>
    <n v="1"/>
    <n v="39.99"/>
    <n v="0"/>
    <n v="39.99"/>
    <n v="7.53"/>
    <n v="15.100000000000001"/>
    <n v="4.8499999999999996"/>
    <x v="0"/>
    <m/>
    <n v="27.480000000000004"/>
    <n v="12.509999999999998"/>
    <s v="OK"/>
  </r>
  <r>
    <x v="23"/>
    <x v="0"/>
    <x v="0"/>
    <s v="406-2612127-9590703"/>
    <s v="Decespugliatore a scoppio - KD5044"/>
    <n v="1"/>
    <n v="99.99"/>
    <n v="0"/>
    <n v="99.99"/>
    <n v="18.84"/>
    <n v="50"/>
    <n v="8.8000000000000007"/>
    <x v="0"/>
    <m/>
    <n v="77.64"/>
    <n v="22.349999999999994"/>
    <s v="OK"/>
  </r>
  <r>
    <x v="23"/>
    <x v="0"/>
    <x v="0"/>
    <s v="407-6890618-1490700"/>
    <s v="Decespugliatore a batteria - KD5124"/>
    <n v="1"/>
    <n v="39.99"/>
    <n v="0"/>
    <n v="39.99"/>
    <n v="7.53"/>
    <n v="15.100000000000001"/>
    <n v="4.8499999999999996"/>
    <x v="0"/>
    <m/>
    <n v="27.480000000000004"/>
    <n v="12.509999999999998"/>
    <s v="OK"/>
  </r>
  <r>
    <x v="23"/>
    <x v="0"/>
    <x v="0"/>
    <s v="407-3312024-2094707"/>
    <s v="Decespugliatore a batteria - KD5124"/>
    <n v="1"/>
    <n v="39.99"/>
    <n v="0"/>
    <n v="39.99"/>
    <n v="7.53"/>
    <n v="15.100000000000001"/>
    <n v="4.8499999999999996"/>
    <x v="0"/>
    <m/>
    <n v="27.480000000000004"/>
    <n v="12.509999999999998"/>
    <s v="OK"/>
  </r>
  <r>
    <x v="23"/>
    <x v="0"/>
    <x v="0"/>
    <s v="404-8542472-1421152"/>
    <s v="Decespugliatore a batteria - KD5124"/>
    <n v="1"/>
    <n v="39.99"/>
    <n v="0"/>
    <n v="39.99"/>
    <n v="7.53"/>
    <n v="15.100000000000001"/>
    <n v="4.8499999999999996"/>
    <x v="0"/>
    <m/>
    <n v="27.480000000000004"/>
    <n v="12.509999999999998"/>
    <s v="OK"/>
  </r>
  <r>
    <x v="23"/>
    <x v="0"/>
    <x v="0"/>
    <s v="404-3101699-1158762"/>
    <s v="Decespugliatore a batteria - KD5124"/>
    <n v="1"/>
    <n v="39.99"/>
    <n v="0"/>
    <n v="39.99"/>
    <n v="7.53"/>
    <n v="15.100000000000001"/>
    <n v="4.8499999999999996"/>
    <x v="0"/>
    <m/>
    <n v="27.480000000000004"/>
    <n v="12.509999999999998"/>
    <s v="OK"/>
  </r>
  <r>
    <x v="23"/>
    <x v="0"/>
    <x v="0"/>
    <s v="402-4806687-0930730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23"/>
    <x v="0"/>
    <x v="0"/>
    <s v="405-7233402-7527543"/>
    <s v="Decespugliatore a scoppio - KD5044"/>
    <n v="1"/>
    <n v="99.99"/>
    <n v="0"/>
    <n v="99.99"/>
    <n v="18.84"/>
    <n v="50"/>
    <n v="8.8000000000000007"/>
    <x v="0"/>
    <m/>
    <n v="77.64"/>
    <n v="22.349999999999994"/>
    <s v="OK"/>
  </r>
  <r>
    <x v="23"/>
    <x v="1"/>
    <x v="0"/>
    <s v="PO-098-14492120151671269"/>
    <s v="Decespugliatore a scoppio - KD5044"/>
    <n v="1"/>
    <n v="85.73"/>
    <n v="0"/>
    <n v="85.73"/>
    <n v="0"/>
    <n v="50"/>
    <n v="8.8000000000000007"/>
    <x v="0"/>
    <m/>
    <n v="58.8"/>
    <n v="26.930000000000007"/>
    <s v="OK"/>
  </r>
  <r>
    <x v="23"/>
    <x v="1"/>
    <x v="0"/>
    <s v="PO-098-14859649536633172"/>
    <s v="Cuociuova in Acciaio Inox - KD4118"/>
    <n v="1"/>
    <n v="23.23"/>
    <n v="0"/>
    <n v="23.23"/>
    <n v="0"/>
    <n v="10.82"/>
    <n v="4.7699999999999996"/>
    <x v="0"/>
    <m/>
    <n v="15.59"/>
    <n v="7.6400000000000006"/>
    <s v="OK"/>
  </r>
  <r>
    <x v="23"/>
    <x v="1"/>
    <x v="0"/>
    <s v="PO-098-14641250698870378"/>
    <s v="Crick auto 2,5 T - WDS2490"/>
    <n v="1"/>
    <n v="49.27"/>
    <n v="0"/>
    <n v="49.27"/>
    <n v="0"/>
    <n v="24.03"/>
    <n v="8.4"/>
    <x v="0"/>
    <m/>
    <n v="32.43"/>
    <n v="16.840000000000003"/>
    <s v="OK"/>
  </r>
  <r>
    <x v="23"/>
    <x v="2"/>
    <x v="0"/>
    <s v="10-14521-76893"/>
    <s v="Decespugliatore a scoppio - KD5044"/>
    <n v="1"/>
    <n v="94.99"/>
    <n v="0"/>
    <n v="94.99"/>
    <n v="8.75"/>
    <n v="50"/>
    <n v="8.8000000000000007"/>
    <x v="0"/>
    <m/>
    <n v="67.55"/>
    <n v="27.439999999999998"/>
    <s v="OK"/>
  </r>
  <r>
    <x v="24"/>
    <x v="0"/>
    <x v="0"/>
    <s v="407-1397179-8063563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4"/>
    <x v="0"/>
    <x v="0"/>
    <s v="405-7004609-1932311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4"/>
    <x v="0"/>
    <x v="0"/>
    <s v="407-7139161-8759566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4"/>
    <x v="0"/>
    <x v="0"/>
    <s v="171-1452665-7155566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4"/>
    <x v="0"/>
    <x v="0"/>
    <s v="404-8876868-2621141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4"/>
    <x v="0"/>
    <x v="0"/>
    <s v="406-1867180-7459566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4"/>
    <x v="0"/>
    <x v="0"/>
    <s v="403-5528152-0673117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4"/>
    <x v="0"/>
    <x v="0"/>
    <s v="402-7528401-1088360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4"/>
    <x v="0"/>
    <x v="0"/>
    <s v="408-1078755-4280329"/>
    <s v="Motosega a batteria 12&quot; - KD5125"/>
    <n v="1"/>
    <n v="68.900000000000006"/>
    <n v="0"/>
    <n v="68.900000000000006"/>
    <n v="11.27"/>
    <n v="32.049999999999997"/>
    <n v="5.87"/>
    <x v="0"/>
    <m/>
    <n v="49.189999999999991"/>
    <n v="19.710000000000015"/>
    <s v="OK"/>
  </r>
  <r>
    <x v="24"/>
    <x v="0"/>
    <x v="0"/>
    <s v="405-9445807-6079552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4"/>
    <x v="0"/>
    <x v="0"/>
    <s v="406-0780933-2287546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4"/>
    <x v="0"/>
    <x v="0"/>
    <s v="402-3475036-3429153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4"/>
    <x v="0"/>
    <x v="0"/>
    <s v="406-8958058-2267508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4"/>
    <x v="0"/>
    <x v="0"/>
    <s v="403-2912317-4116332"/>
    <s v="Motore A Scoppio 210cc - KD1825"/>
    <n v="1"/>
    <n v="99"/>
    <n v="0"/>
    <n v="99"/>
    <n v="18.670000000000002"/>
    <n v="42.629999999999995"/>
    <n v="8.4"/>
    <x v="0"/>
    <m/>
    <n v="69.7"/>
    <n v="29.299999999999997"/>
    <s v="OK"/>
  </r>
  <r>
    <x v="24"/>
    <x v="0"/>
    <x v="0"/>
    <s v="407-4486896-0611534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4"/>
    <x v="1"/>
    <x v="0"/>
    <s v="PO-098-09345991544953076"/>
    <s v="Decespugliatore a scoppio - KD5044"/>
    <n v="1"/>
    <n v="84.07"/>
    <n v="0"/>
    <n v="84.07"/>
    <n v="0"/>
    <n v="50"/>
    <n v="8.8000000000000007"/>
    <x v="0"/>
    <m/>
    <n v="58.8"/>
    <n v="25.269999999999996"/>
    <s v="OK"/>
  </r>
  <r>
    <x v="24"/>
    <x v="1"/>
    <x v="0"/>
    <s v="PO-098-09083553359991760"/>
    <s v="Decespugliatore a scoppio - KD5044"/>
    <n v="1"/>
    <n v="85.73"/>
    <n v="0"/>
    <n v="85.73"/>
    <n v="0"/>
    <n v="50"/>
    <n v="8.8000000000000007"/>
    <x v="0"/>
    <m/>
    <n v="58.8"/>
    <n v="26.930000000000007"/>
    <s v="OK"/>
  </r>
  <r>
    <x v="24"/>
    <x v="1"/>
    <x v="0"/>
    <s v="PO-098-08991583479671220"/>
    <s v="Fresa a tazza - KD12640"/>
    <n v="1"/>
    <n v="33.99"/>
    <n v="0"/>
    <n v="33.99"/>
    <n v="0"/>
    <n v="14.47"/>
    <n v="7.1"/>
    <x v="0"/>
    <m/>
    <n v="21.57"/>
    <n v="12.420000000000002"/>
    <s v="OK"/>
  </r>
  <r>
    <x v="24"/>
    <x v="1"/>
    <x v="0"/>
    <s v="PO-098-09409344141433722"/>
    <s v="Decespugliatore a scoppio - KD5044"/>
    <n v="1"/>
    <n v="85.73"/>
    <n v="0"/>
    <n v="85.73"/>
    <n v="0"/>
    <n v="50"/>
    <n v="8.8000000000000007"/>
    <x v="0"/>
    <m/>
    <n v="58.8"/>
    <n v="26.930000000000007"/>
    <s v="OK"/>
  </r>
  <r>
    <x v="24"/>
    <x v="1"/>
    <x v="0"/>
    <s v="PO-098-08944044289911440"/>
    <s v="Decespugliatore a scoppio - KD5044"/>
    <n v="1"/>
    <n v="85.73"/>
    <n v="0"/>
    <n v="85.73"/>
    <n v="0"/>
    <n v="50"/>
    <n v="8.8000000000000007"/>
    <x v="0"/>
    <m/>
    <n v="58.8"/>
    <n v="26.930000000000007"/>
    <s v="OK"/>
  </r>
  <r>
    <x v="24"/>
    <x v="1"/>
    <x v="0"/>
    <s v="PO-098-09032089735032005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24"/>
    <x v="1"/>
    <x v="0"/>
    <s v="PO-098-09333013557113283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4"/>
    <x v="1"/>
    <x v="0"/>
    <s v="PO-098-09065868827511674"/>
    <s v="Decespugliatore a scoppio - KD5044"/>
    <n v="1"/>
    <n v="85.73"/>
    <n v="0"/>
    <n v="85.73"/>
    <n v="0"/>
    <n v="50"/>
    <n v="8.8000000000000007"/>
    <x v="0"/>
    <m/>
    <n v="58.8"/>
    <n v="26.930000000000007"/>
    <s v="OK"/>
  </r>
  <r>
    <x v="24"/>
    <x v="1"/>
    <x v="0"/>
    <s v="PO-098-09090969331831588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4"/>
    <x v="1"/>
    <x v="0"/>
    <s v="PO-098-09057478997111916"/>
    <s v="Motosega a Scoppio 58cc - KD10613"/>
    <n v="1"/>
    <n v="76.27"/>
    <n v="0"/>
    <n v="76.27"/>
    <n v="0"/>
    <n v="39.76"/>
    <n v="8.01"/>
    <x v="0"/>
    <m/>
    <n v="47.769999999999996"/>
    <n v="28.5"/>
    <s v="OK"/>
  </r>
  <r>
    <x v="24"/>
    <x v="1"/>
    <x v="0"/>
    <s v="PO-098-09378095537274039"/>
    <s v="Decespugliatore a scoppio - KD5044"/>
    <n v="1"/>
    <n v="84.07"/>
    <n v="0"/>
    <n v="84.07"/>
    <n v="0"/>
    <n v="50"/>
    <n v="8.8000000000000007"/>
    <x v="0"/>
    <m/>
    <n v="58.8"/>
    <n v="25.269999999999996"/>
    <s v="OK"/>
  </r>
  <r>
    <x v="24"/>
    <x v="1"/>
    <x v="0"/>
    <s v="PO-098-09521973801592093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4"/>
    <x v="2"/>
    <x v="0"/>
    <s v="07-14531-27244"/>
    <s v="Motosega a Scoppio 58cc - KD10613"/>
    <n v="1"/>
    <n v="82.9"/>
    <n v="0"/>
    <n v="82.9"/>
    <n v="6.03"/>
    <n v="39.76"/>
    <n v="8.01"/>
    <x v="0"/>
    <m/>
    <n v="53.8"/>
    <n v="29.100000000000009"/>
    <s v="OK"/>
  </r>
  <r>
    <x v="24"/>
    <x v="2"/>
    <x v="0"/>
    <s v="12-14521-21727"/>
    <s v="Piastra induzione - KD4167"/>
    <n v="1"/>
    <n v="68"/>
    <n v="0"/>
    <n v="68"/>
    <n v="6.3699999999999992"/>
    <n v="33.78"/>
    <n v="5.87"/>
    <x v="0"/>
    <m/>
    <n v="46.019999999999996"/>
    <n v="21.980000000000004"/>
    <s v="OK"/>
  </r>
  <r>
    <x v="24"/>
    <x v="2"/>
    <x v="0"/>
    <s v="14-14518-13949"/>
    <s v="Fresa a tazza - KD12640"/>
    <n v="1"/>
    <n v="35"/>
    <n v="0"/>
    <n v="35"/>
    <n v="5.0199999999999996"/>
    <n v="14.47"/>
    <n v="7.1"/>
    <x v="0"/>
    <m/>
    <n v="26.590000000000003"/>
    <n v="8.4099999999999966"/>
    <s v="OK"/>
  </r>
  <r>
    <x v="25"/>
    <x v="0"/>
    <x v="0"/>
    <s v="404-3445480-0098724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5"/>
    <x v="0"/>
    <x v="0"/>
    <s v="171-8546354-8127544"/>
    <s v="DFL_531802"/>
    <n v="1"/>
    <n v="16.72"/>
    <n v="0"/>
    <n v="16.72"/>
    <n v="2.74"/>
    <n v="5.1728000000000005"/>
    <n v="4.3600000000000003"/>
    <x v="0"/>
    <m/>
    <n v="12.2728"/>
    <n v="4.4471999999999987"/>
    <s v="OK"/>
  </r>
  <r>
    <x v="25"/>
    <x v="0"/>
    <x v="0"/>
    <s v="402-7434950-5017103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5"/>
    <x v="0"/>
    <x v="0"/>
    <s v="404-0986677-5513945"/>
    <s v="Motore A Scoppio 210cc - KD1825"/>
    <n v="1"/>
    <n v="99"/>
    <n v="0"/>
    <n v="99"/>
    <n v="18.670000000000002"/>
    <n v="42.629999999999995"/>
    <n v="8.4"/>
    <x v="0"/>
    <m/>
    <n v="69.7"/>
    <n v="29.299999999999997"/>
    <s v="OK"/>
  </r>
  <r>
    <x v="25"/>
    <x v="0"/>
    <x v="0"/>
    <s v="171-7054434-3550731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5"/>
    <x v="0"/>
    <x v="0"/>
    <s v="404-3337115-2058723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5"/>
    <x v="0"/>
    <x v="0"/>
    <s v="404-7431232-0025118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25"/>
    <x v="0"/>
    <x v="0"/>
    <s v="407-6067905-7903504"/>
    <s v="DFL_6060908"/>
    <n v="1"/>
    <n v="42.64"/>
    <n v="0"/>
    <n v="42.64"/>
    <n v="8.0500000000000007"/>
    <n v="31.158799999999999"/>
    <n v="4.8499999999999996"/>
    <x v="0"/>
    <m/>
    <n v="44.058799999999998"/>
    <n v="-1.4187999999999974"/>
    <s v="DA EVITARE"/>
  </r>
  <r>
    <x v="25"/>
    <x v="0"/>
    <x v="0"/>
    <s v="406-1856493-3845967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25"/>
    <x v="0"/>
    <x v="0"/>
    <s v="403-9356313-9840319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5"/>
    <x v="0"/>
    <x v="0"/>
    <s v="408-5689535-8081939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5"/>
    <x v="0"/>
    <x v="0"/>
    <s v="408-8769381-3139567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5"/>
    <x v="0"/>
    <x v="0"/>
    <s v="408-6304791-7901132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25"/>
    <x v="0"/>
    <x v="0"/>
    <s v="406-6090579-5382726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5"/>
    <x v="0"/>
    <x v="0"/>
    <s v="404-5272687-9022706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5"/>
    <x v="0"/>
    <x v="0"/>
    <s v="402-7913092-0289908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5"/>
    <x v="0"/>
    <x v="0"/>
    <s v="402-6334188-9572348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5"/>
    <x v="0"/>
    <x v="0"/>
    <s v="406-4833657-6620326"/>
    <s v="Decespugliatore a batteria - KD5124"/>
    <n v="1"/>
    <n v="39.99"/>
    <n v="0"/>
    <n v="39.99"/>
    <n v="7.54"/>
    <n v="15.100000000000001"/>
    <n v="4.8499999999999996"/>
    <x v="0"/>
    <m/>
    <n v="27.490000000000002"/>
    <n v="12.5"/>
    <s v="OK"/>
  </r>
  <r>
    <x v="25"/>
    <x v="0"/>
    <x v="0"/>
    <s v="406-1059936-5643568"/>
    <s v="Decespugliatore a scoppio - KD5044"/>
    <n v="1"/>
    <n v="99.99"/>
    <n v="0"/>
    <n v="99.99"/>
    <n v="18.850000000000001"/>
    <n v="50"/>
    <n v="8.8000000000000007"/>
    <x v="0"/>
    <m/>
    <n v="77.649999999999991"/>
    <n v="22.340000000000003"/>
    <s v="OK"/>
  </r>
  <r>
    <x v="25"/>
    <x v="1"/>
    <x v="0"/>
    <s v="PO-098-19968018496631396"/>
    <s v="Chiavi Inglesi Combinate - KD10923"/>
    <n v="1"/>
    <n v="18.079999999999998"/>
    <n v="0"/>
    <n v="18.079999999999998"/>
    <n v="0"/>
    <n v="6.62"/>
    <n v="4.7699999999999996"/>
    <x v="0"/>
    <m/>
    <n v="11.39"/>
    <n v="6.6899999999999977"/>
    <s v="OK"/>
  </r>
  <r>
    <x v="25"/>
    <x v="1"/>
    <x v="0"/>
    <s v="PO-098-20412472384633805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5"/>
    <x v="1"/>
    <x v="0"/>
    <s v="PO-098-20518051681912087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25"/>
    <x v="1"/>
    <x v="0"/>
    <s v="PO-098-20433482087033679"/>
    <s v="DFL_6129346"/>
    <n v="1"/>
    <m/>
    <n v="0"/>
    <n v="0"/>
    <n v="0"/>
    <n v="10.918999999999999"/>
    <n v="8.7200000000000006"/>
    <x v="1"/>
    <m/>
    <n v="19.638999999999999"/>
    <n v="-19.638999999999999"/>
    <s v="DA EVITARE"/>
  </r>
  <r>
    <x v="25"/>
    <x v="1"/>
    <x v="0"/>
    <s v="PO-098-20485195884152411"/>
    <s v="Chiavi Inglesi Combinate - KD10923"/>
    <n v="1"/>
    <n v="18.21"/>
    <n v="0"/>
    <n v="18.21"/>
    <n v="0"/>
    <n v="6.62"/>
    <n v="4.7699999999999996"/>
    <x v="0"/>
    <m/>
    <n v="11.39"/>
    <n v="6.82"/>
    <s v="OK"/>
  </r>
  <r>
    <x v="25"/>
    <x v="1"/>
    <x v="0"/>
    <s v="PO-098-19981802732151186"/>
    <s v="Motosega a Scoppio 58cc - KD10613"/>
    <n v="1"/>
    <n v="76.27"/>
    <n v="0"/>
    <n v="76.27"/>
    <n v="0"/>
    <n v="39.76"/>
    <n v="8.01"/>
    <x v="0"/>
    <m/>
    <n v="47.769999999999996"/>
    <n v="28.5"/>
    <s v="OK"/>
  </r>
  <r>
    <x v="25"/>
    <x v="1"/>
    <x v="0"/>
    <s v="PO-098-20278072039033516"/>
    <s v="Motore A Scoppio 210cc - KD1825"/>
    <n v="1"/>
    <n v="84.97"/>
    <n v="0"/>
    <n v="84.97"/>
    <n v="0"/>
    <n v="42.629999999999995"/>
    <n v="8.4"/>
    <x v="0"/>
    <m/>
    <n v="51.029999999999994"/>
    <n v="33.940000000000005"/>
    <s v="OK"/>
  </r>
  <r>
    <x v="25"/>
    <x v="2"/>
    <x v="0"/>
    <s v="11-14527-12604"/>
    <s v="Decespugliatore a scoppio - KD5044"/>
    <n v="1"/>
    <n v="99.99"/>
    <n v="0"/>
    <n v="99.99"/>
    <n v="9.1999999999999993"/>
    <n v="50"/>
    <n v="8.8000000000000007"/>
    <x v="0"/>
    <m/>
    <n v="68"/>
    <n v="31.989999999999995"/>
    <s v="OK"/>
  </r>
  <r>
    <x v="25"/>
    <x v="2"/>
    <x v="0"/>
    <s v="11-14527-06838"/>
    <s v="Kit messa in fase motori diesel - KD12526"/>
    <n v="1"/>
    <n v="23.72"/>
    <n v="0"/>
    <n v="23.72"/>
    <n v="3.75"/>
    <n v="6.18"/>
    <n v="4.7699999999999996"/>
    <x v="0"/>
    <m/>
    <n v="14.7"/>
    <n v="9.02"/>
    <s v="OK"/>
  </r>
  <r>
    <x v="26"/>
    <x v="4"/>
    <x v="2"/>
    <s v="MR45T55"/>
    <s v="Idealux_8021696251257"/>
    <n v="1"/>
    <n v="131.63999999999999"/>
    <n v="0"/>
    <n v="131.63999999999999"/>
    <n v="17.11"/>
    <n v="79.28779999999999"/>
    <n v="8.08"/>
    <x v="0"/>
    <m/>
    <n v="104.47779999999999"/>
    <n v="27.162199999999999"/>
    <s v="OK"/>
  </r>
  <r>
    <x v="26"/>
    <x v="4"/>
    <x v="2"/>
    <s v="MTF4E55"/>
    <s v="Idealux_8021696328348"/>
    <n v="1"/>
    <n v="71.989999999999995"/>
    <n v="0"/>
    <n v="71.989999999999995"/>
    <n v="9.36"/>
    <n v="41.419000000000004"/>
    <n v="7.35"/>
    <x v="0"/>
    <m/>
    <n v="58.129000000000005"/>
    <n v="13.86099999999999"/>
    <s v="OK"/>
  </r>
  <r>
    <x v="27"/>
    <x v="0"/>
    <x v="0"/>
    <s v="403-6476086-2431538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7"/>
    <x v="0"/>
    <x v="0"/>
    <s v="407-3641858-3565167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7"/>
    <x v="0"/>
    <x v="0"/>
    <s v="405-2226149-6905118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7"/>
    <x v="0"/>
    <x v="0"/>
    <s v="408-0330959-8981147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27"/>
    <x v="3"/>
    <x v="0"/>
    <s v="005-26111L12396-A"/>
    <s v="DFL_6131890"/>
    <n v="2"/>
    <n v="95.46"/>
    <n v="0"/>
    <n v="95.46"/>
    <n v="11.46"/>
    <n v="44.627599999999994"/>
    <n v="9.69"/>
    <x v="0"/>
    <m/>
    <n v="65.777599999999993"/>
    <n v="29.682400000000001"/>
    <s v="OK"/>
  </r>
  <r>
    <x v="27"/>
    <x v="0"/>
    <x v="0"/>
    <s v="171-3896899-7904330"/>
    <s v="Motosega a batteria 12&quot; - KD5125"/>
    <n v="1"/>
    <n v="68.900000000000006"/>
    <n v="0"/>
    <n v="68.900000000000006"/>
    <n v="11.27"/>
    <n v="32.049999999999997"/>
    <n v="5.87"/>
    <x v="0"/>
    <m/>
    <n v="49.189999999999991"/>
    <n v="19.710000000000015"/>
    <s v="OK"/>
  </r>
  <r>
    <x v="27"/>
    <x v="1"/>
    <x v="0"/>
    <s v="PO-098-01365979597432643"/>
    <s v="Motosega a Scoppio 58cc - KD10613"/>
    <n v="1"/>
    <n v="76.27"/>
    <n v="0"/>
    <n v="76.27"/>
    <n v="0"/>
    <n v="39.76"/>
    <n v="8.01"/>
    <x v="0"/>
    <m/>
    <n v="47.769999999999996"/>
    <n v="28.5"/>
    <s v="OK"/>
  </r>
  <r>
    <x v="27"/>
    <x v="1"/>
    <x v="0"/>
    <s v="PO-098-01119675669113983"/>
    <s v="Motosega a Scoppio 58cc - KD10613"/>
    <n v="1"/>
    <n v="74.78"/>
    <n v="0"/>
    <n v="74.78"/>
    <n v="0"/>
    <n v="39.76"/>
    <n v="8.01"/>
    <x v="0"/>
    <m/>
    <n v="47.769999999999996"/>
    <n v="27.010000000000005"/>
    <s v="OK"/>
  </r>
  <r>
    <x v="27"/>
    <x v="1"/>
    <x v="0"/>
    <s v="PO-098-00877279698550498"/>
    <s v="Decespugliatore a scoppio - KD5044"/>
    <n v="1"/>
    <n v="85.73"/>
    <n v="0"/>
    <n v="85.73"/>
    <n v="0"/>
    <n v="50"/>
    <n v="8.8000000000000007"/>
    <x v="0"/>
    <m/>
    <n v="58.8"/>
    <n v="26.930000000000007"/>
    <s v="OK"/>
  </r>
  <r>
    <x v="27"/>
    <x v="1"/>
    <x v="0"/>
    <s v="PO-098-01137713823354067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7"/>
    <x v="1"/>
    <x v="0"/>
    <s v="PO-098-01176364334713837"/>
    <s v="Chiavi Inglesi Combinate - KD10923"/>
    <n v="1"/>
    <n v="16.03"/>
    <n v="0"/>
    <n v="16.03"/>
    <n v="0"/>
    <n v="6.62"/>
    <n v="4.7699999999999996"/>
    <x v="0"/>
    <m/>
    <n v="11.39"/>
    <n v="4.6400000000000006"/>
    <s v="OK"/>
  </r>
  <r>
    <x v="27"/>
    <x v="1"/>
    <x v="0"/>
    <s v="PO-098-01176364334713837"/>
    <s v="Chiavi Inglesi Combinate - KD10923"/>
    <n v="1"/>
    <n v="16.03"/>
    <n v="0"/>
    <n v="16.03"/>
    <n v="0"/>
    <n v="6.62"/>
    <n v="4.7699999999999996"/>
    <x v="0"/>
    <m/>
    <n v="11.39"/>
    <n v="4.6400000000000006"/>
    <s v="OK"/>
  </r>
  <r>
    <x v="27"/>
    <x v="1"/>
    <x v="0"/>
    <s v="PO-098-01168840801913752"/>
    <s v="DFL_6129340"/>
    <n v="1"/>
    <n v="13.8"/>
    <n v="0"/>
    <n v="13.8"/>
    <n v="0"/>
    <n v="5.8559999999999999"/>
    <n v="4.3600000000000003"/>
    <x v="0"/>
    <m/>
    <n v="10.216000000000001"/>
    <n v="3.5839999999999996"/>
    <s v="OK"/>
  </r>
  <r>
    <x v="27"/>
    <x v="1"/>
    <x v="0"/>
    <s v="PO-098-01058308795513386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27"/>
    <x v="1"/>
    <x v="0"/>
    <s v="PO-098-01256240389752209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27"/>
    <x v="2"/>
    <x v="0"/>
    <s v="03-14546-30376"/>
    <s v="Fresa a tazza - KD12640"/>
    <n v="1"/>
    <n v="33.25"/>
    <n v="0"/>
    <n v="33.25"/>
    <n v="4.8"/>
    <n v="14.47"/>
    <n v="7.1"/>
    <x v="0"/>
    <m/>
    <n v="26.369999999999997"/>
    <n v="6.8800000000000026"/>
    <s v="OK"/>
  </r>
  <r>
    <x v="27"/>
    <x v="2"/>
    <x v="0"/>
    <s v="06-14541-56947"/>
    <s v="Motore A Scoppio 210cc - KD1825"/>
    <n v="1"/>
    <n v="93.88"/>
    <n v="0"/>
    <n v="93.88"/>
    <n v="12.89"/>
    <n v="42.629999999999995"/>
    <n v="8.4"/>
    <x v="0"/>
    <m/>
    <n v="63.919999999999995"/>
    <n v="29.96"/>
    <s v="OK"/>
  </r>
  <r>
    <x v="28"/>
    <x v="0"/>
    <x v="0"/>
    <s v="405-0261785-2050761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28"/>
    <x v="0"/>
    <x v="0"/>
    <s v="408-2390538-0279526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28"/>
    <x v="0"/>
    <x v="0"/>
    <s v="403-9987511-9584361"/>
    <s v="Piastra induzione - KD4167"/>
    <n v="1"/>
    <m/>
    <n v="0"/>
    <n v="0"/>
    <m/>
    <n v="33.78"/>
    <n v="5.87"/>
    <x v="2"/>
    <m/>
    <n v="39.65"/>
    <n v="-39.65"/>
    <s v="DA EVITARE"/>
  </r>
  <r>
    <x v="28"/>
    <x v="0"/>
    <x v="0"/>
    <s v="408-8209935-4837133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28"/>
    <x v="0"/>
    <x v="0"/>
    <s v="403-7949422-3521130"/>
    <s v="Piastra induzione - KD4167"/>
    <n v="1"/>
    <n v="68.989999999999995"/>
    <n v="0"/>
    <n v="68.989999999999995"/>
    <n v="12.99"/>
    <n v="33.78"/>
    <n v="5.87"/>
    <x v="0"/>
    <m/>
    <n v="52.64"/>
    <n v="16.349999999999994"/>
    <s v="OK"/>
  </r>
  <r>
    <x v="28"/>
    <x v="0"/>
    <x v="0"/>
    <s v="404-1319565-8442711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28"/>
    <x v="0"/>
    <x v="0"/>
    <s v="403-7520640-7178703"/>
    <s v="Piastra induzione - KD4167"/>
    <n v="1"/>
    <n v="68.989999999999995"/>
    <n v="0"/>
    <n v="68.989999999999995"/>
    <n v="12.99"/>
    <n v="33.78"/>
    <n v="5.87"/>
    <x v="0"/>
    <m/>
    <n v="52.64"/>
    <n v="16.349999999999994"/>
    <s v="OK"/>
  </r>
  <r>
    <x v="28"/>
    <x v="0"/>
    <x v="0"/>
    <s v="171-8191651-0129922"/>
    <s v="DFL_1040703"/>
    <n v="1"/>
    <n v="13.73"/>
    <n v="0"/>
    <n v="13.73"/>
    <n v="2.23"/>
    <n v="3.0011999999999999"/>
    <n v="4.3600000000000003"/>
    <x v="0"/>
    <m/>
    <n v="9.5912000000000006"/>
    <n v="4.1387999999999998"/>
    <s v="OK"/>
  </r>
  <r>
    <x v="28"/>
    <x v="0"/>
    <x v="0"/>
    <s v="404-8291317-2854724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28"/>
    <x v="0"/>
    <x v="0"/>
    <s v="403-6085828-1653139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28"/>
    <x v="0"/>
    <x v="0"/>
    <s v="405-9675629-2085937"/>
    <s v="DFL_102614"/>
    <n v="1"/>
    <n v="21.94"/>
    <n v="0"/>
    <n v="21.94"/>
    <n v="3.57"/>
    <n v="8.9669999999999987"/>
    <n v="4.3600000000000003"/>
    <x v="0"/>
    <m/>
    <n v="16.896999999999998"/>
    <n v="5.0430000000000028"/>
    <s v="OK"/>
  </r>
  <r>
    <x v="28"/>
    <x v="1"/>
    <x v="0"/>
    <s v="PO-098-12190600689273659"/>
    <s v="Cuociuova in Acciaio Inox - KD4118"/>
    <n v="1"/>
    <m/>
    <n v="0"/>
    <n v="0"/>
    <n v="0"/>
    <m/>
    <m/>
    <x v="2"/>
    <m/>
    <n v="0"/>
    <n v="0"/>
    <s v="OK"/>
  </r>
  <r>
    <x v="28"/>
    <x v="1"/>
    <x v="0"/>
    <s v="PO-098-11876482186870283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8"/>
    <x v="1"/>
    <x v="0"/>
    <s v="PO-098-12069899105913224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8"/>
    <x v="1"/>
    <x v="0"/>
    <s v="PO-098-11856421489270403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28"/>
    <x v="2"/>
    <x v="0"/>
    <s v="23-14519-62418"/>
    <s v="Motore A Scoppio 210cc - KD1825"/>
    <n v="1"/>
    <n v="93.88"/>
    <n v="0"/>
    <n v="93.88"/>
    <n v="12.89"/>
    <n v="42.629999999999995"/>
    <n v="8.4"/>
    <x v="0"/>
    <m/>
    <n v="63.919999999999995"/>
    <n v="29.96"/>
    <s v="OK"/>
  </r>
  <r>
    <x v="29"/>
    <x v="0"/>
    <x v="0"/>
    <s v="407-3082469-6645922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29"/>
    <x v="0"/>
    <x v="0"/>
    <s v="408-4822563-6306753"/>
    <s v="Motosega a batteria 12&quot; - KD5125"/>
    <n v="1"/>
    <n v="68.900000000000006"/>
    <n v="0"/>
    <n v="68.900000000000006"/>
    <n v="11.27"/>
    <n v="32.049999999999997"/>
    <n v="5.87"/>
    <x v="0"/>
    <m/>
    <n v="49.189999999999991"/>
    <n v="19.710000000000015"/>
    <s v="OK"/>
  </r>
  <r>
    <x v="29"/>
    <x v="0"/>
    <x v="0"/>
    <s v="406-9057164-9877153"/>
    <s v="DFL_601496"/>
    <n v="1"/>
    <n v="50.32"/>
    <n v="0"/>
    <n v="50.32"/>
    <n v="8.23"/>
    <n v="29.572799999999997"/>
    <n v="4.3600000000000003"/>
    <x v="0"/>
    <m/>
    <n v="42.162799999999997"/>
    <n v="8.1572000000000031"/>
    <s v="OK"/>
  </r>
  <r>
    <x v="29"/>
    <x v="0"/>
    <x v="0"/>
    <s v="402-4351560-0701160"/>
    <s v="Idealux_8021696308227"/>
    <n v="2"/>
    <n v="24"/>
    <n v="0"/>
    <n v="24"/>
    <n v="4.54"/>
    <n v="15.38"/>
    <n v="4.7699999999999996"/>
    <x v="0"/>
    <m/>
    <n v="24.69"/>
    <n v="-0.69000000000000128"/>
    <s v="DA EVITARE"/>
  </r>
  <r>
    <x v="29"/>
    <x v="0"/>
    <x v="0"/>
    <s v="404-9870969-7839544"/>
    <s v="Idealux_8021696348339"/>
    <n v="1"/>
    <n v="52"/>
    <n v="0"/>
    <n v="52"/>
    <n v="9.81"/>
    <n v="30.768399999999996"/>
    <n v="4.7699999999999996"/>
    <x v="0"/>
    <m/>
    <n v="45.348399999999998"/>
    <n v="6.651600000000002"/>
    <s v="OK"/>
  </r>
  <r>
    <x v="29"/>
    <x v="0"/>
    <x v="0"/>
    <s v="171-2116969-0260300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29"/>
    <x v="0"/>
    <x v="0"/>
    <s v="404-6108924-5047531"/>
    <s v="DFL_6000652"/>
    <n v="1"/>
    <n v="44.34"/>
    <n v="0"/>
    <n v="44.34"/>
    <n v="8.3699999999999992"/>
    <n v="28.852999999999998"/>
    <n v="4.8499999999999996"/>
    <x v="0"/>
    <m/>
    <n v="42.073"/>
    <n v="2.267000000000003"/>
    <s v="OK"/>
  </r>
  <r>
    <x v="29"/>
    <x v="1"/>
    <x v="0"/>
    <s v="PO-098-06211227516791283"/>
    <s v="Chiavi Inglesi Combinate - KD10923"/>
    <n v="1"/>
    <n v="18.71"/>
    <n v="0"/>
    <n v="18.71"/>
    <n v="0"/>
    <n v="6.62"/>
    <n v="4.7699999999999996"/>
    <x v="0"/>
    <m/>
    <n v="11.39"/>
    <n v="7.32"/>
    <s v="OK"/>
  </r>
  <r>
    <x v="29"/>
    <x v="1"/>
    <x v="0"/>
    <s v="PO-098-06429895084150043"/>
    <s v="Motosega a Scoppio 58cc - KD10613"/>
    <n v="1"/>
    <n v="53.86"/>
    <n v="0"/>
    <n v="53.86"/>
    <n v="0"/>
    <n v="39.76"/>
    <n v="8.01"/>
    <x v="0"/>
    <m/>
    <n v="47.769999999999996"/>
    <n v="6.0900000000000034"/>
    <s v="OK"/>
  </r>
  <r>
    <x v="29"/>
    <x v="1"/>
    <x v="0"/>
    <s v="PO-098-06229892263031171"/>
    <s v="DFL_805061"/>
    <n v="1"/>
    <n v="54.19"/>
    <n v="0"/>
    <n v="54.19"/>
    <n v="0"/>
    <n v="42.541399999999996"/>
    <n v="12.5"/>
    <x v="0"/>
    <m/>
    <n v="55.041399999999996"/>
    <n v="-0.85139999999999816"/>
    <s v="DA EVITARE"/>
  </r>
  <r>
    <x v="29"/>
    <x v="1"/>
    <x v="0"/>
    <s v="PO-098-06275742244471920"/>
    <s v="Cuociuova in Acciaio Inox - KD4118"/>
    <n v="1"/>
    <n v="23.68"/>
    <n v="0"/>
    <n v="23.68"/>
    <n v="0"/>
    <n v="10.82"/>
    <n v="4.7699999999999996"/>
    <x v="0"/>
    <m/>
    <n v="15.59"/>
    <n v="8.09"/>
    <s v="OK"/>
  </r>
  <r>
    <x v="29"/>
    <x v="1"/>
    <x v="0"/>
    <s v="PO-098-06697203651193696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29"/>
    <x v="1"/>
    <x v="0"/>
    <s v="PO-098-12052266926713331"/>
    <s v="Fresa a tazza - KD12640"/>
    <n v="1"/>
    <n v="34.659999999999997"/>
    <n v="0"/>
    <n v="34.659999999999997"/>
    <n v="0"/>
    <n v="14.47"/>
    <n v="7.1"/>
    <x v="0"/>
    <m/>
    <n v="21.57"/>
    <n v="13.089999999999996"/>
    <s v="OK"/>
  </r>
  <r>
    <x v="29"/>
    <x v="2"/>
    <x v="0"/>
    <s v="16-14535-64075"/>
    <s v="Kit messa in fase motori diesel - KD12526"/>
    <n v="1"/>
    <n v="22.53"/>
    <n v="0"/>
    <n v="22.53"/>
    <n v="3.58"/>
    <n v="6.18"/>
    <n v="4.7699999999999996"/>
    <x v="0"/>
    <m/>
    <n v="14.53"/>
    <n v="8.0000000000000018"/>
    <s v="OK"/>
  </r>
  <r>
    <x v="29"/>
    <x v="2"/>
    <x v="0"/>
    <s v="22-14524-60970"/>
    <s v="Decespugliatore a scoppio - KD5044"/>
    <n v="1"/>
    <n v="54.99"/>
    <n v="0"/>
    <n v="54.99"/>
    <n v="5.21"/>
    <n v="50"/>
    <n v="8.8000000000000007"/>
    <x v="0"/>
    <m/>
    <n v="64.010000000000005"/>
    <n v="-9.0200000000000031"/>
    <s v="DA EVITARE"/>
  </r>
  <r>
    <x v="29"/>
    <x v="2"/>
    <x v="0"/>
    <s v="21-14525-65451"/>
    <s v="Decespugliatore a scoppio - KD5044"/>
    <n v="1"/>
    <n v="54.99"/>
    <n v="0"/>
    <n v="54.99"/>
    <n v="5.21"/>
    <n v="50"/>
    <n v="8.8000000000000007"/>
    <x v="0"/>
    <m/>
    <n v="64.010000000000005"/>
    <n v="-9.0200000000000031"/>
    <s v="DA EVITARE"/>
  </r>
  <r>
    <x v="30"/>
    <x v="0"/>
    <x v="0"/>
    <s v="406-2100632-7313114"/>
    <s v="DFL_313174"/>
    <n v="1"/>
    <n v="25.03"/>
    <n v="0"/>
    <n v="25.03"/>
    <n v="4.72"/>
    <n v="11.211799999999998"/>
    <n v="4.3600000000000003"/>
    <x v="0"/>
    <m/>
    <n v="20.291799999999999"/>
    <n v="4.7382000000000026"/>
    <s v="OK"/>
  </r>
  <r>
    <x v="30"/>
    <x v="0"/>
    <x v="0"/>
    <s v="407-2580032-4686718"/>
    <s v="Piastra induzione - KD4167"/>
    <n v="1"/>
    <n v="68.989999999999995"/>
    <n v="0"/>
    <n v="68.989999999999995"/>
    <n v="13.01"/>
    <n v="33.78"/>
    <n v="5.87"/>
    <x v="0"/>
    <m/>
    <n v="52.66"/>
    <n v="16.329999999999998"/>
    <s v="OK"/>
  </r>
  <r>
    <x v="30"/>
    <x v="1"/>
    <x v="0"/>
    <s v="PO-098-17630274299514066"/>
    <s v="Fresa a tazza - KD12640"/>
    <n v="1"/>
    <n v="34.659999999999997"/>
    <n v="0"/>
    <n v="34.659999999999997"/>
    <n v="0"/>
    <n v="14.47"/>
    <n v="7.1"/>
    <x v="0"/>
    <m/>
    <n v="21.57"/>
    <n v="13.089999999999996"/>
    <s v="OK"/>
  </r>
  <r>
    <x v="30"/>
    <x v="1"/>
    <x v="0"/>
    <s v="PO-098-17283543061112039"/>
    <s v="DFL_6129344"/>
    <n v="1"/>
    <n v="17.27"/>
    <n v="0"/>
    <n v="17.27"/>
    <n v="0"/>
    <n v="10.918999999999999"/>
    <n v="4.3600000000000003"/>
    <x v="0"/>
    <m/>
    <n v="15.279"/>
    <n v="1.9909999999999997"/>
    <s v="OK"/>
  </r>
  <r>
    <x v="31"/>
    <x v="3"/>
    <x v="0"/>
    <s v="005-26115L22816-A"/>
    <s v="DFL_7930780"/>
    <n v="1"/>
    <n v="26.31"/>
    <n v="0"/>
    <n v="26.31"/>
    <n v="3.16"/>
    <n v="13.3956"/>
    <n v="4.3600000000000003"/>
    <x v="3"/>
    <m/>
    <n v="20.915599999999998"/>
    <n v="5.394400000000001"/>
    <s v="OK"/>
  </r>
  <r>
    <x v="32"/>
    <x v="0"/>
    <x v="0"/>
    <s v="406-3267154-2567521"/>
    <s v="Chiavi Inglesi Combinate - KD10923"/>
    <n v="1"/>
    <n v="22"/>
    <n v="0"/>
    <n v="22"/>
    <n v="3.6"/>
    <n v="6.62"/>
    <n v="4.7699999999999996"/>
    <x v="0"/>
    <m/>
    <n v="14.99"/>
    <n v="7.01"/>
    <s v="OK"/>
  </r>
  <r>
    <x v="32"/>
    <x v="0"/>
    <x v="0"/>
    <s v="171-2193552-3617108"/>
    <s v="DFL_5115472"/>
    <n v="1"/>
    <n v="23.5"/>
    <n v="0"/>
    <n v="23.5"/>
    <n v="3.85"/>
    <n v="10.504199999999999"/>
    <n v="4.3600000000000003"/>
    <x v="0"/>
    <m/>
    <n v="18.714199999999998"/>
    <n v="4.7858000000000018"/>
    <s v="OK"/>
  </r>
  <r>
    <x v="32"/>
    <x v="0"/>
    <x v="0"/>
    <s v="407-5450646-1393138"/>
    <s v="Motosega a batteria 12&quot; - KD5125"/>
    <n v="1"/>
    <n v="68.900000000000006"/>
    <n v="0"/>
    <n v="68.900000000000006"/>
    <n v="11.27"/>
    <n v="32.049999999999997"/>
    <n v="5.87"/>
    <x v="0"/>
    <m/>
    <n v="49.189999999999991"/>
    <n v="19.710000000000015"/>
    <s v="OK"/>
  </r>
  <r>
    <x v="32"/>
    <x v="0"/>
    <x v="0"/>
    <s v="407-4521908-5675550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32"/>
    <x v="0"/>
    <x v="0"/>
    <s v="404-1944008-3625944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32"/>
    <x v="0"/>
    <x v="0"/>
    <s v="408-2704872-9436351"/>
    <s v="Idealux_8021696123998"/>
    <n v="1"/>
    <n v="35"/>
    <n v="0"/>
    <n v="35"/>
    <n v="6.61"/>
    <n v="20.703399999999998"/>
    <n v="4.7699999999999996"/>
    <x v="0"/>
    <m/>
    <n v="32.083399999999997"/>
    <n v="2.9166000000000025"/>
    <s v="OK"/>
  </r>
  <r>
    <x v="32"/>
    <x v="0"/>
    <x v="0"/>
    <s v="402-5462501-4305101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32"/>
    <x v="1"/>
    <x v="0"/>
    <s v="PO-098-05033742003830173"/>
    <s v="Fresa a tazza - KD12640"/>
    <n v="1"/>
    <n v="33.979999999999997"/>
    <n v="0"/>
    <n v="33.979999999999997"/>
    <n v="0"/>
    <n v="14.47"/>
    <n v="7.1"/>
    <x v="0"/>
    <m/>
    <n v="21.57"/>
    <n v="12.409999999999997"/>
    <s v="OK"/>
  </r>
  <r>
    <x v="32"/>
    <x v="1"/>
    <x v="0"/>
    <s v="PO-098-04840282158711324"/>
    <s v="Chiavi Inglesi Combinate - KD10923"/>
    <n v="1"/>
    <n v="18.71"/>
    <n v="0"/>
    <n v="18.71"/>
    <n v="0"/>
    <n v="6.62"/>
    <n v="4.7699999999999996"/>
    <x v="0"/>
    <m/>
    <n v="11.39"/>
    <n v="7.32"/>
    <s v="OK"/>
  </r>
  <r>
    <x v="32"/>
    <x v="1"/>
    <x v="0"/>
    <s v="PO-098-04916527529592022"/>
    <s v="Motosega a Scoppio 58cc - KD10613"/>
    <n v="1"/>
    <n v="76.27"/>
    <n v="0"/>
    <n v="76.27"/>
    <n v="0"/>
    <n v="39.76"/>
    <n v="16.02"/>
    <x v="4"/>
    <m/>
    <n v="55.78"/>
    <n v="20.489999999999995"/>
    <s v="OK"/>
  </r>
  <r>
    <x v="32"/>
    <x v="1"/>
    <x v="0"/>
    <s v="PO-098-05369358797432205"/>
    <s v="DFL_6048394"/>
    <n v="1"/>
    <n v="11.1"/>
    <n v="0"/>
    <n v="11.1"/>
    <n v="0"/>
    <n v="2.14"/>
    <n v="4.3600000000000003"/>
    <x v="0"/>
    <m/>
    <n v="6.5"/>
    <n v="4.5999999999999996"/>
    <s v="OK"/>
  </r>
  <r>
    <x v="32"/>
    <x v="1"/>
    <x v="0"/>
    <s v="PO-098-05430420941433057"/>
    <s v="Chiavi Inglesi Combinate - KD10923"/>
    <n v="1"/>
    <n v="18.71"/>
    <n v="0"/>
    <n v="18.71"/>
    <n v="0"/>
    <n v="6.62"/>
    <n v="4.7699999999999996"/>
    <x v="0"/>
    <m/>
    <n v="11.39"/>
    <n v="7.32"/>
    <s v="OK"/>
  </r>
  <r>
    <x v="32"/>
    <x v="1"/>
    <x v="0"/>
    <s v="PO-098-05166837755513538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33"/>
    <x v="0"/>
    <x v="0"/>
    <s v="406-2353913-7722716"/>
    <s v="DFL_5115472"/>
    <n v="1"/>
    <n v="23.5"/>
    <n v="0"/>
    <n v="23.5"/>
    <n v="3.85"/>
    <n v="10.504199999999999"/>
    <n v="4.3600000000000003"/>
    <x v="0"/>
    <m/>
    <n v="18.714199999999998"/>
    <n v="4.7858000000000018"/>
    <s v="OK"/>
  </r>
  <r>
    <x v="33"/>
    <x v="0"/>
    <x v="0"/>
    <s v="405-7523490-1800351"/>
    <s v="DFL_6000652"/>
    <n v="1"/>
    <n v="44.34"/>
    <n v="0"/>
    <n v="44.34"/>
    <n v="8.3699999999999992"/>
    <n v="28.852999999999998"/>
    <n v="4.8499999999999996"/>
    <x v="0"/>
    <m/>
    <n v="42.073"/>
    <n v="2.267000000000003"/>
    <s v="OK"/>
  </r>
  <r>
    <x v="33"/>
    <x v="0"/>
    <x v="0"/>
    <s v="406-9523716-7974737"/>
    <s v="Motosega a batteria 12&quot; - KD5125"/>
    <n v="1"/>
    <n v="68.900000000000006"/>
    <n v="0"/>
    <n v="68.900000000000006"/>
    <n v="11.27"/>
    <n v="32.049999999999997"/>
    <n v="5.87"/>
    <x v="0"/>
    <m/>
    <n v="49.189999999999991"/>
    <n v="19.710000000000015"/>
    <s v="OK"/>
  </r>
  <r>
    <x v="33"/>
    <x v="0"/>
    <x v="0"/>
    <s v="404-1784127-6997122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33"/>
    <x v="1"/>
    <x v="0"/>
    <s v="PO-098-16400928241272115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33"/>
    <x v="1"/>
    <x v="0"/>
    <s v="PO-098-15886345390711151"/>
    <s v="Crick auto 2,5 T - WDS2490"/>
    <n v="1"/>
    <n v="49.95"/>
    <n v="0"/>
    <n v="49.95"/>
    <n v="0"/>
    <n v="24.03"/>
    <n v="8.4"/>
    <x v="0"/>
    <m/>
    <n v="32.43"/>
    <n v="17.520000000000003"/>
    <s v="OK"/>
  </r>
  <r>
    <x v="33"/>
    <x v="1"/>
    <x v="0"/>
    <s v="PO-098-16230519214713195"/>
    <s v="DFL_6129346"/>
    <n v="1"/>
    <n v="17.27"/>
    <n v="0"/>
    <n v="17.27"/>
    <n v="0"/>
    <n v="10.918999999999999"/>
    <n v="4.3600000000000003"/>
    <x v="0"/>
    <m/>
    <n v="15.279"/>
    <n v="1.9909999999999997"/>
    <s v="OK"/>
  </r>
  <r>
    <x v="33"/>
    <x v="1"/>
    <x v="0"/>
    <s v="PO-098-16100336138870835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33"/>
    <x v="1"/>
    <x v="0"/>
    <s v="PO-098-16386535378552073"/>
    <s v="DFL_6048394"/>
    <n v="1"/>
    <n v="10.94"/>
    <n v="0"/>
    <n v="10.94"/>
    <n v="0"/>
    <n v="2.14"/>
    <n v="4.3600000000000003"/>
    <x v="0"/>
    <m/>
    <n v="6.5"/>
    <n v="4.4399999999999995"/>
    <s v="OK"/>
  </r>
  <r>
    <x v="33"/>
    <x v="1"/>
    <x v="0"/>
    <s v="PO-098-04976433756791603"/>
    <s v="Kit messa in fase motori diesel - KD12526"/>
    <n v="1"/>
    <n v="20.350000000000001"/>
    <n v="0"/>
    <n v="20.350000000000001"/>
    <n v="0"/>
    <n v="6.18"/>
    <n v="4.7699999999999996"/>
    <x v="0"/>
    <m/>
    <n v="10.95"/>
    <n v="9.4000000000000021"/>
    <s v="OK"/>
  </r>
  <r>
    <x v="34"/>
    <x v="0"/>
    <x v="0"/>
    <s v="408-2349676-6243542"/>
    <s v="DFL_603739"/>
    <n v="1"/>
    <n v="71.5"/>
    <n v="0"/>
    <n v="71.5"/>
    <n v="13.48"/>
    <n v="40.381999999999998"/>
    <n v="4.3600000000000003"/>
    <x v="0"/>
    <m/>
    <n v="58.221999999999994"/>
    <n v="13.278000000000006"/>
    <s v="OK"/>
  </r>
  <r>
    <x v="34"/>
    <x v="0"/>
    <x v="0"/>
    <s v="404-2602379-5901949"/>
    <s v="DFL_1500305"/>
    <n v="1"/>
    <n v="10.35"/>
    <n v="0"/>
    <n v="10.35"/>
    <n v="1.97"/>
    <n v="0.54900000000000004"/>
    <n v="4.3600000000000003"/>
    <x v="0"/>
    <m/>
    <n v="6.8790000000000004"/>
    <n v="3.4709999999999992"/>
    <s v="OK"/>
  </r>
  <r>
    <x v="34"/>
    <x v="1"/>
    <x v="0"/>
    <s v="PO-098-10735899905913176"/>
    <s v="Chiavi Inglesi Combinate - KD10923"/>
    <n v="1"/>
    <n v="19.02"/>
    <n v="0"/>
    <n v="19.02"/>
    <n v="0"/>
    <n v="6.62"/>
    <n v="4.7699999999999996"/>
    <x v="0"/>
    <m/>
    <n v="11.39"/>
    <n v="7.629999999999999"/>
    <s v="OK"/>
  </r>
  <r>
    <x v="34"/>
    <x v="1"/>
    <x v="0"/>
    <s v="PO-098-10916203850872999"/>
    <s v="Fresa a tazza - KD12640"/>
    <n v="1"/>
    <n v="34.659999999999997"/>
    <n v="0"/>
    <n v="34.659999999999997"/>
    <n v="0"/>
    <n v="14.47"/>
    <n v="7.1"/>
    <x v="0"/>
    <m/>
    <n v="21.57"/>
    <n v="13.089999999999996"/>
    <s v="OK"/>
  </r>
  <r>
    <x v="35"/>
    <x v="1"/>
    <x v="0"/>
    <s v="PO-098-21452382682231764"/>
    <s v="DFL_805061"/>
    <n v="1"/>
    <n v="54.19"/>
    <n v="0"/>
    <n v="54.19"/>
    <n v="0"/>
    <n v="42.541399999999996"/>
    <n v="12.5"/>
    <x v="0"/>
    <m/>
    <n v="55.041399999999996"/>
    <n v="-0.85139999999999816"/>
    <s v="DA EVITARE"/>
  </r>
  <r>
    <x v="35"/>
    <x v="1"/>
    <x v="0"/>
    <s v="PO-098-21423371653751875"/>
    <s v="DFL_6129344"/>
    <n v="3"/>
    <n v="42.84"/>
    <n v="0"/>
    <n v="42.84"/>
    <n v="0"/>
    <n v="32.756999999999998"/>
    <n v="4.3600000000000003"/>
    <x v="0"/>
    <m/>
    <n v="37.116999999999997"/>
    <n v="5.7230000000000061"/>
    <s v="OK"/>
  </r>
  <r>
    <x v="35"/>
    <x v="1"/>
    <x v="0"/>
    <s v="PO-098-21905810012792966"/>
    <s v="DFL_6048394"/>
    <n v="1"/>
    <n v="11.1"/>
    <n v="0"/>
    <n v="11.1"/>
    <n v="0"/>
    <n v="2.14"/>
    <n v="4.3600000000000003"/>
    <x v="0"/>
    <m/>
    <n v="6.5"/>
    <n v="4.5999999999999996"/>
    <s v="OK"/>
  </r>
  <r>
    <x v="35"/>
    <x v="2"/>
    <x v="0"/>
    <s v="21-14547-12901"/>
    <s v="Fresa a tazza - KD12640"/>
    <n v="1"/>
    <n v="35"/>
    <n v="0"/>
    <n v="35"/>
    <n v="5.0199999999999996"/>
    <n v="14.47"/>
    <n v="7.1"/>
    <x v="0"/>
    <m/>
    <n v="26.590000000000003"/>
    <n v="8.4099999999999966"/>
    <s v="OK"/>
  </r>
  <r>
    <x v="36"/>
    <x v="1"/>
    <x v="0"/>
    <s v="PO-098-02174532503671855"/>
    <s v="Fresa a tazza - KD12640"/>
    <n v="1"/>
    <n v="34.659999999999997"/>
    <n v="0"/>
    <n v="34.659999999999997"/>
    <n v="0"/>
    <n v="14.47"/>
    <n v="7.1"/>
    <x v="0"/>
    <m/>
    <n v="21.57"/>
    <n v="13.089999999999996"/>
    <s v="OK"/>
  </r>
  <r>
    <x v="36"/>
    <x v="1"/>
    <x v="0"/>
    <s v="PO-098-02435704292473371"/>
    <s v="Fresa a tazza - KD12640"/>
    <n v="1"/>
    <n v="34.659999999999997"/>
    <n v="0"/>
    <n v="34.659999999999997"/>
    <n v="0"/>
    <n v="14.47"/>
    <n v="7.1"/>
    <x v="0"/>
    <m/>
    <n v="21.57"/>
    <n v="13.089999999999996"/>
    <s v="OK"/>
  </r>
  <r>
    <x v="36"/>
    <x v="1"/>
    <x v="0"/>
    <s v="PO-098-02735098942072608"/>
    <s v="DFL_6129344"/>
    <n v="1"/>
    <n v="17.27"/>
    <n v="0"/>
    <n v="17.27"/>
    <n v="0"/>
    <n v="10.918999999999999"/>
    <n v="4.3600000000000003"/>
    <x v="0"/>
    <m/>
    <n v="15.279"/>
    <n v="1.9909999999999997"/>
    <s v="OK"/>
  </r>
  <r>
    <x v="37"/>
    <x v="1"/>
    <x v="0"/>
    <s v="PO-098-13555358003833586"/>
    <s v="Chiavi Inglesi Combinate - KD10923"/>
    <n v="1"/>
    <m/>
    <n v="0"/>
    <n v="0"/>
    <n v="0"/>
    <m/>
    <m/>
    <x v="2"/>
    <m/>
    <n v="0"/>
    <n v="0"/>
    <s v="OK"/>
  </r>
  <r>
    <x v="37"/>
    <x v="1"/>
    <x v="0"/>
    <s v="PO-098-13443712412793228"/>
    <s v="DFL_1066404"/>
    <n v="1"/>
    <n v="26.67"/>
    <n v="0"/>
    <n v="26.67"/>
    <n v="0"/>
    <n v="10.9678"/>
    <n v="4.3600000000000003"/>
    <x v="0"/>
    <m/>
    <n v="15.3278"/>
    <n v="11.342200000000002"/>
    <s v="OK"/>
  </r>
  <r>
    <x v="38"/>
    <x v="1"/>
    <x v="0"/>
    <s v="PO-098-07618604104311276"/>
    <s v="Chiavi Inglesi Combinate - KD10923"/>
    <n v="1"/>
    <n v="12.88"/>
    <n v="0"/>
    <n v="12.88"/>
    <n v="0"/>
    <n v="6.62"/>
    <n v="4.7699999999999996"/>
    <x v="3"/>
    <m/>
    <n v="11.39"/>
    <n v="1.4900000000000002"/>
    <s v="OK"/>
  </r>
  <r>
    <x v="38"/>
    <x v="1"/>
    <x v="0"/>
    <s v="PO-098-07723371239031612"/>
    <s v="DFL_6129340"/>
    <n v="1"/>
    <n v="13.8"/>
    <n v="0"/>
    <n v="13.8"/>
    <n v="0"/>
    <n v="5.8559999999999999"/>
    <n v="4.3600000000000003"/>
    <x v="3"/>
    <m/>
    <n v="10.216000000000001"/>
    <n v="3.5839999999999996"/>
    <s v="OK"/>
  </r>
  <r>
    <x v="38"/>
    <x v="1"/>
    <x v="0"/>
    <s v="PO-098-08002364810874047"/>
    <s v="Kit messa in fase motori diesel - KD12526"/>
    <n v="1"/>
    <n v="20.350000000000001"/>
    <n v="0"/>
    <n v="20.350000000000001"/>
    <n v="0"/>
    <n v="6.18"/>
    <n v="4.7699999999999996"/>
    <x v="3"/>
    <m/>
    <n v="10.95"/>
    <n v="9.4000000000000021"/>
    <s v="OK"/>
  </r>
  <r>
    <x v="38"/>
    <x v="1"/>
    <x v="0"/>
    <s v="PO-098-08000407219834056"/>
    <s v="Chiavi Inglesi Combinate - KD10923"/>
    <n v="1"/>
    <n v="14.13"/>
    <n v="0"/>
    <n v="14.13"/>
    <n v="0"/>
    <n v="6.62"/>
    <n v="4.7699999999999996"/>
    <x v="3"/>
    <m/>
    <n v="11.39"/>
    <n v="2.74"/>
    <s v="OK"/>
  </r>
  <r>
    <x v="39"/>
    <x v="1"/>
    <x v="0"/>
    <s v="PO-098-18847679621750842"/>
    <s v="DFL_6129344"/>
    <n v="1"/>
    <n v="17.27"/>
    <n v="0"/>
    <n v="17.27"/>
    <n v="0"/>
    <n v="10.918999999999999"/>
    <n v="4.3600000000000003"/>
    <x v="3"/>
    <m/>
    <n v="15.279"/>
    <n v="1.9909999999999997"/>
    <s v="OK"/>
  </r>
  <r>
    <x v="39"/>
    <x v="1"/>
    <x v="0"/>
    <s v="PO-098-19195602381432928"/>
    <s v="Crick auto 2,5 T - WDS2490"/>
    <n v="1"/>
    <n v="49.95"/>
    <n v="0"/>
    <n v="49.95"/>
    <n v="0"/>
    <n v="24.03"/>
    <n v="8.4"/>
    <x v="3"/>
    <m/>
    <n v="32.43"/>
    <n v="17.520000000000003"/>
    <s v="OK"/>
  </r>
  <r>
    <x v="40"/>
    <x v="1"/>
    <x v="0"/>
    <s v="PO-098-03399871145590694"/>
    <s v="Chiavi Inglesi Combinate - KD10923"/>
    <n v="1"/>
    <n v="19.02"/>
    <n v="0"/>
    <n v="19.02"/>
    <n v="0"/>
    <n v="6.62"/>
    <n v="4.7699999999999996"/>
    <x v="3"/>
    <m/>
    <n v="11.39"/>
    <n v="7.629999999999999"/>
    <s v="OK"/>
  </r>
  <r>
    <x v="40"/>
    <x v="1"/>
    <x v="0"/>
    <s v="PO-098-03235679247991736"/>
    <s v="DFL_6129344"/>
    <n v="2"/>
    <n v="28.56"/>
    <n v="0"/>
    <n v="28.56"/>
    <n v="0"/>
    <n v="21.837999999999997"/>
    <n v="4.3600000000000003"/>
    <x v="3"/>
    <m/>
    <n v="26.197999999999997"/>
    <n v="2.3620000000000019"/>
    <s v="OK"/>
  </r>
  <r>
    <x v="40"/>
    <x v="1"/>
    <x v="0"/>
    <s v="PO-098-03122927299191320"/>
    <s v="Crick auto 2,5 T - WDS2490"/>
    <n v="1"/>
    <n v="47.7"/>
    <n v="0"/>
    <n v="47.7"/>
    <n v="0"/>
    <n v="24.03"/>
    <n v="8.4"/>
    <x v="3"/>
    <m/>
    <n v="32.43"/>
    <n v="15.270000000000003"/>
    <s v="OK"/>
  </r>
  <r>
    <x v="41"/>
    <x v="1"/>
    <x v="0"/>
    <s v="PO-098-13873431183993738"/>
    <s v="Crick auto 2,5 T - WDS2490"/>
    <n v="1"/>
    <n v="49.86"/>
    <n v="0"/>
    <n v="49.86"/>
    <n v="0"/>
    <n v="24.03"/>
    <n v="8.4"/>
    <x v="3"/>
    <m/>
    <n v="32.43"/>
    <n v="17.43"/>
    <s v="OK"/>
  </r>
  <r>
    <x v="41"/>
    <x v="1"/>
    <x v="0"/>
    <s v="PO-098-14408559836790743"/>
    <s v="DFL_6129340"/>
    <n v="1"/>
    <n v="13.8"/>
    <n v="0"/>
    <n v="13.8"/>
    <n v="0"/>
    <n v="5.8559999999999999"/>
    <n v="4.3600000000000003"/>
    <x v="3"/>
    <m/>
    <n v="10.216000000000001"/>
    <n v="3.5839999999999996"/>
    <s v="OK"/>
  </r>
  <r>
    <x v="41"/>
    <x v="1"/>
    <x v="0"/>
    <s v="PO-098-14162004813431058"/>
    <s v="DFL_6129344"/>
    <n v="1"/>
    <n v="17.27"/>
    <n v="0"/>
    <n v="17.27"/>
    <n v="0"/>
    <n v="10.918999999999999"/>
    <n v="4.3600000000000003"/>
    <x v="3"/>
    <m/>
    <n v="15.279"/>
    <n v="1.9909999999999997"/>
    <s v="OK"/>
  </r>
  <r>
    <x v="41"/>
    <x v="0"/>
    <x v="0"/>
    <s v="403-4353884-4714764"/>
    <s v="Microonde 30L - KD4111"/>
    <n v="1"/>
    <n v="89.99"/>
    <n v="0"/>
    <n v="89.99"/>
    <n v="16.97"/>
    <n v="38.61"/>
    <n v="8.07"/>
    <x v="0"/>
    <m/>
    <n v="63.65"/>
    <n v="26.339999999999996"/>
    <s v="OK"/>
  </r>
  <r>
    <x v="42"/>
    <x v="3"/>
    <x v="0"/>
    <s v="005-26101L44792-A"/>
    <s v="DFL_6135116"/>
    <n v="1"/>
    <n v="12.8"/>
    <n v="0"/>
    <n v="12.8"/>
    <n v="1.54"/>
    <n v="4.2578000000000005"/>
    <n v="4.3600000000000003"/>
    <x v="3"/>
    <m/>
    <n v="10.157800000000002"/>
    <n v="2.642199999999999"/>
    <s v="OK"/>
  </r>
  <r>
    <x v="42"/>
    <x v="0"/>
    <x v="0"/>
    <s v="171-6101466-7119526"/>
    <s v="DFL_5120650"/>
    <n v="1"/>
    <m/>
    <n v="0"/>
    <n v="0"/>
    <m/>
    <n v="21.386600000000001"/>
    <n v="4.3600000000000003"/>
    <x v="1"/>
    <m/>
    <n v="25.746600000000001"/>
    <n v="-25.746600000000001"/>
    <s v="DA EVITARE"/>
  </r>
  <r>
    <x v="42"/>
    <x v="0"/>
    <x v="0"/>
    <s v="403-8374372-6730711"/>
    <s v="DFL_8042181"/>
    <n v="1"/>
    <n v="24.9"/>
    <n v="0"/>
    <n v="24.9"/>
    <n v="4.71"/>
    <n v="11.2362"/>
    <n v="4.3600000000000003"/>
    <x v="0"/>
    <m/>
    <n v="20.3062"/>
    <n v="4.5937999999999981"/>
    <s v="OK"/>
  </r>
  <r>
    <x v="43"/>
    <x v="1"/>
    <x v="0"/>
    <s v="PO-098-19451708050552427"/>
    <s v="DFL_6048394"/>
    <n v="1"/>
    <n v="11.1"/>
    <n v="0"/>
    <n v="11.1"/>
    <n v="0"/>
    <n v="2.14"/>
    <n v="4.3600000000000003"/>
    <x v="3"/>
    <m/>
    <n v="6.5"/>
    <n v="4.5999999999999996"/>
    <s v="OK"/>
  </r>
  <r>
    <x v="43"/>
    <x v="0"/>
    <x v="0"/>
    <s v="407-4575105-0258767"/>
    <s v="DFL_3099226"/>
    <n v="1"/>
    <n v="48.23"/>
    <n v="0"/>
    <n v="48.23"/>
    <n v="9.08"/>
    <n v="28.06"/>
    <n v="4.3600000000000003"/>
    <x v="0"/>
    <m/>
    <n v="41.5"/>
    <n v="6.7299999999999969"/>
    <s v="OK"/>
  </r>
  <r>
    <x v="43"/>
    <x v="1"/>
    <x v="0"/>
    <s v="PO-098-19422142669432474"/>
    <s v="DFL_6048394"/>
    <n v="1"/>
    <n v="11.1"/>
    <n v="0"/>
    <n v="11.1"/>
    <n v="0"/>
    <n v="2.14"/>
    <n v="4.3600000000000003"/>
    <x v="3"/>
    <m/>
    <n v="6.5"/>
    <n v="4.5999999999999996"/>
    <s v="OK"/>
  </r>
  <r>
    <x v="43"/>
    <x v="2"/>
    <x v="0"/>
    <s v="21-14582-89604"/>
    <s v="Motosega a batteria 12&quot; - KD5125"/>
    <n v="1"/>
    <n v="53.68"/>
    <n v="0"/>
    <n v="53.68"/>
    <n v="5.1000000000000005"/>
    <n v="32.049999999999997"/>
    <n v="5.87"/>
    <x v="0"/>
    <m/>
    <n v="43.019999999999996"/>
    <n v="10.660000000000004"/>
    <s v="OK"/>
  </r>
  <r>
    <x v="43"/>
    <x v="2"/>
    <x v="0"/>
    <s v="11-14598-43186"/>
    <s v="Kit messa in fase motori diesel - KD12526"/>
    <n v="1"/>
    <n v="23.72"/>
    <n v="0"/>
    <n v="23.72"/>
    <n v="3.75"/>
    <n v="6.18"/>
    <n v="4.7699999999999996"/>
    <x v="0"/>
    <m/>
    <n v="14.7"/>
    <n v="9.02"/>
    <s v="OK"/>
  </r>
  <r>
    <x v="44"/>
    <x v="1"/>
    <x v="0"/>
    <s v="PO-098-19891532175990700"/>
    <s v="Manometro - KD1365"/>
    <n v="1"/>
    <n v="22.47"/>
    <n v="0"/>
    <n v="22.47"/>
    <n v="0"/>
    <n v="10.440000000000001"/>
    <n v="4.7699999999999996"/>
    <x v="3"/>
    <m/>
    <n v="15.21"/>
    <n v="7.259999999999998"/>
    <s v="OK"/>
  </r>
  <r>
    <x v="44"/>
    <x v="1"/>
    <x v="0"/>
    <s v="PO-098-00242729505912104"/>
    <s v="Crick auto 2,5 T - WDS2490"/>
    <n v="1"/>
    <n v="49.91"/>
    <n v="0"/>
    <n v="49.91"/>
    <n v="0"/>
    <n v="24.03"/>
    <n v="8.4"/>
    <x v="3"/>
    <m/>
    <n v="32.43"/>
    <n v="17.479999999999997"/>
    <s v="OK"/>
  </r>
  <r>
    <x v="44"/>
    <x v="0"/>
    <x v="0"/>
    <s v="408-0457608-0171522"/>
    <s v="Idealux_8021696302379"/>
    <n v="2"/>
    <n v="50"/>
    <n v="0"/>
    <n v="50"/>
    <n v="9.44"/>
    <n v="29.59"/>
    <n v="4.66"/>
    <x v="0"/>
    <m/>
    <n v="43.69"/>
    <n v="6.3100000000000023"/>
    <s v="OK"/>
  </r>
  <r>
    <x v="44"/>
    <x v="0"/>
    <x v="0"/>
    <s v="402-0354395-0807572"/>
    <s v="DFL_6060908"/>
    <n v="1"/>
    <n v="42.64"/>
    <n v="0"/>
    <n v="42.64"/>
    <n v="8.0500000000000007"/>
    <n v="31.158799999999999"/>
    <n v="4.8499999999999996"/>
    <x v="0"/>
    <m/>
    <n v="44.058799999999998"/>
    <n v="-1.4187999999999974"/>
    <s v="DA EVITARE"/>
  </r>
  <r>
    <x v="44"/>
    <x v="1"/>
    <x v="0"/>
    <s v="PO-098-00583240888950010"/>
    <s v="Kit messa in fase motori diesel - KD12526"/>
    <n v="1"/>
    <n v="20.350000000000001"/>
    <n v="0"/>
    <n v="20.350000000000001"/>
    <n v="0"/>
    <n v="6.18"/>
    <n v="4.7699999999999996"/>
    <x v="3"/>
    <m/>
    <n v="10.95"/>
    <n v="9.4000000000000021"/>
    <s v="OK"/>
  </r>
  <r>
    <x v="44"/>
    <x v="1"/>
    <x v="0"/>
    <s v="PO-098-00194711050872326"/>
    <s v="Manometro - KD1365"/>
    <n v="1"/>
    <n v="21.46"/>
    <n v="0"/>
    <n v="21.46"/>
    <n v="0"/>
    <n v="10.440000000000001"/>
    <n v="4.7699999999999996"/>
    <x v="3"/>
    <m/>
    <n v="15.21"/>
    <n v="6.25"/>
    <s v="OK"/>
  </r>
  <r>
    <x v="45"/>
    <x v="0"/>
    <x v="0"/>
    <s v="171-7162824-6033135"/>
    <s v="Decespugliatore a batteria - KD5124"/>
    <n v="1"/>
    <n v="39.99"/>
    <n v="0"/>
    <n v="39.99"/>
    <n v="7.53"/>
    <n v="15.100000000000001"/>
    <n v="4.8499999999999996"/>
    <x v="0"/>
    <m/>
    <n v="27.480000000000004"/>
    <n v="12.509999999999998"/>
    <s v="OK"/>
  </r>
  <r>
    <x v="45"/>
    <x v="0"/>
    <x v="0"/>
    <s v="408-2283386-3717910"/>
    <s v="Idealux_8021696346526"/>
    <n v="2"/>
    <n v="198"/>
    <n v="0"/>
    <n v="198"/>
    <n v="37.31"/>
    <n v="117.1566"/>
    <n v="5.87"/>
    <x v="0"/>
    <m/>
    <n v="160.3366"/>
    <n v="37.663399999999996"/>
    <s v="OK"/>
  </r>
  <r>
    <x v="45"/>
    <x v="0"/>
    <x v="0"/>
    <s v="403-4160549-1025122"/>
    <s v="DFL_313174"/>
    <n v="1"/>
    <n v="25.03"/>
    <n v="0"/>
    <n v="25.03"/>
    <n v="4.7"/>
    <n v="11.211799999999998"/>
    <n v="4.3600000000000003"/>
    <x v="0"/>
    <m/>
    <n v="20.271799999999999"/>
    <n v="4.7582000000000022"/>
    <s v="OK"/>
  </r>
  <r>
    <x v="45"/>
    <x v="0"/>
    <x v="0"/>
    <s v="404-1906427-1342704"/>
    <s v="DFL_6000652"/>
    <n v="1"/>
    <n v="44.34"/>
    <n v="0"/>
    <n v="44.34"/>
    <n v="8.3699999999999992"/>
    <n v="28.852999999999998"/>
    <n v="4.8499999999999996"/>
    <x v="0"/>
    <m/>
    <n v="42.073"/>
    <n v="2.267000000000003"/>
    <s v="OK"/>
  </r>
  <r>
    <x v="45"/>
    <x v="0"/>
    <x v="0"/>
    <s v="171-6770711-7661941"/>
    <s v="Idealux_8021696308234"/>
    <n v="3"/>
    <n v="53.7"/>
    <n v="0"/>
    <n v="53.7"/>
    <n v="5.38"/>
    <n v="34.586999999999996"/>
    <n v="4.7699999999999996"/>
    <x v="0"/>
    <m/>
    <n v="44.736999999999995"/>
    <n v="8.9630000000000081"/>
    <s v="OK"/>
  </r>
  <r>
    <x v="46"/>
    <x v="0"/>
    <x v="0"/>
    <s v="406-8819129-2139551"/>
    <s v="DFL_7950071"/>
    <n v="1"/>
    <n v="121.8"/>
    <n v="0"/>
    <n v="121.8"/>
    <n v="22.95"/>
    <n v="61.939399999999999"/>
    <n v="10"/>
    <x v="0"/>
    <m/>
    <n v="94.889399999999995"/>
    <n v="26.910600000000002"/>
    <s v="OK"/>
  </r>
  <r>
    <x v="46"/>
    <x v="0"/>
    <x v="0"/>
    <s v="171-5621816-9861925"/>
    <s v="DFL_1068858"/>
    <n v="1"/>
    <n v="15.84"/>
    <n v="0"/>
    <n v="15.84"/>
    <n v="1.98"/>
    <n v="5.7218"/>
    <n v="4.3600000000000003"/>
    <x v="0"/>
    <m/>
    <n v="12.061800000000002"/>
    <n v="3.7781999999999982"/>
    <s v="OK"/>
  </r>
  <r>
    <x v="46"/>
    <x v="1"/>
    <x v="0"/>
    <s v="PO-098-05945236035192034"/>
    <s v="DFL_6129340"/>
    <n v="1"/>
    <n v="13.8"/>
    <n v="0"/>
    <n v="13.8"/>
    <n v="0"/>
    <n v="5.8559999999999999"/>
    <n v="4.3600000000000003"/>
    <x v="3"/>
    <m/>
    <n v="10.216000000000001"/>
    <n v="3.5839999999999996"/>
    <s v="OK"/>
  </r>
  <r>
    <x v="46"/>
    <x v="0"/>
    <x v="0"/>
    <s v="404-9348711-4928369"/>
    <s v="Idealux_8021696096728"/>
    <n v="2"/>
    <n v="52"/>
    <n v="0"/>
    <n v="52"/>
    <n v="9.7899999999999991"/>
    <n v="30.77"/>
    <n v="4.7699999999999996"/>
    <x v="0"/>
    <m/>
    <n v="45.33"/>
    <n v="6.6700000000000017"/>
    <s v="OK"/>
  </r>
  <r>
    <x v="47"/>
    <x v="0"/>
    <x v="0"/>
    <s v="405-5975736-7841102"/>
    <s v="DFL_612838"/>
    <n v="1"/>
    <m/>
    <n v="0"/>
    <n v="0"/>
    <m/>
    <n v="2.4500000000000002"/>
    <n v="4.3600000000000003"/>
    <x v="0"/>
    <m/>
    <n v="6.8100000000000005"/>
    <n v="-6.8100000000000005"/>
    <s v="DA EVITARE"/>
  </r>
  <r>
    <x v="48"/>
    <x v="4"/>
    <x v="2"/>
    <s v="M9UETC5"/>
    <s v=" Idealux_8021696200217"/>
    <n v="1"/>
    <n v="298.64999999999998"/>
    <n v="0"/>
    <n v="298.64999999999998"/>
    <n v="38.82"/>
    <n v="179.8768"/>
    <n v="8.08"/>
    <x v="3"/>
    <m/>
    <n v="226.77680000000001"/>
    <n v="71.873199999999969"/>
    <s v="OK"/>
  </r>
  <r>
    <x v="48"/>
    <x v="1"/>
    <x v="0"/>
    <s v="PO-098-04493637558391342"/>
    <s v="Kit messa in fase motori diesel - KD12526"/>
    <n v="1"/>
    <n v="13.95"/>
    <n v="0"/>
    <n v="13.95"/>
    <n v="0"/>
    <n v="6.18"/>
    <n v="4.7699999999999996"/>
    <x v="3"/>
    <m/>
    <n v="10.95"/>
    <n v="3"/>
    <s v="OK"/>
  </r>
  <r>
    <x v="48"/>
    <x v="1"/>
    <x v="0"/>
    <s v="PO-098-04699023153270246"/>
    <s v="Manometro - KD1365"/>
    <n v="1"/>
    <n v="22.47"/>
    <n v="0"/>
    <n v="22.47"/>
    <n v="0"/>
    <n v="10.440000000000001"/>
    <n v="4.7699999999999996"/>
    <x v="3"/>
    <m/>
    <n v="15.21"/>
    <n v="7.259999999999998"/>
    <s v="OK"/>
  </r>
  <r>
    <x v="48"/>
    <x v="1"/>
    <x v="0"/>
    <s v="PO-098-04537976399991078"/>
    <s v="DFL_6129340"/>
    <n v="2"/>
    <n v="24.61"/>
    <n v="0"/>
    <n v="24.61"/>
    <n v="0"/>
    <n v="11.712"/>
    <n v="4.3600000000000003"/>
    <x v="3"/>
    <m/>
    <n v="16.071999999999999"/>
    <n v="8.5380000000000003"/>
    <s v="OK"/>
  </r>
  <r>
    <x v="48"/>
    <x v="2"/>
    <x v="0"/>
    <s v="23-14604-50730"/>
    <s v="Crick auto 2,5 T - WDS2490"/>
    <n v="1"/>
    <n v="46.75"/>
    <n v="0"/>
    <n v="46.75"/>
    <n v="4.49"/>
    <n v="24.03"/>
    <n v="8.4"/>
    <x v="0"/>
    <m/>
    <n v="36.92"/>
    <n v="9.8299999999999983"/>
    <s v="OK"/>
  </r>
  <r>
    <x v="49"/>
    <x v="2"/>
    <x v="0"/>
    <s v="21-14611-42484"/>
    <s v="Crick auto 2,5 T - WDS2490"/>
    <n v="1"/>
    <n v="46.75"/>
    <n v="0"/>
    <n v="46.75"/>
    <n v="4.49"/>
    <n v="24.03"/>
    <n v="8.4"/>
    <x v="0"/>
    <m/>
    <n v="36.92"/>
    <n v="9.8299999999999983"/>
    <s v="OK"/>
  </r>
  <r>
    <x v="50"/>
    <x v="2"/>
    <x v="0"/>
    <s v="24-14624-30454"/>
    <s v="Crick auto 2,5 T - WDS2490"/>
    <n v="1"/>
    <n v="49.5"/>
    <n v="0"/>
    <n v="49.5"/>
    <n v="4.7300000000000004"/>
    <n v="24.03"/>
    <n v="8.4"/>
    <x v="0"/>
    <m/>
    <n v="37.160000000000004"/>
    <n v="12.339999999999996"/>
    <s v="OK"/>
  </r>
  <r>
    <x v="50"/>
    <x v="2"/>
    <x v="0"/>
    <s v="22-14612-85400"/>
    <s v="Crick auto 2,5 T - WDS2490"/>
    <n v="1"/>
    <n v="49.5"/>
    <n v="0"/>
    <n v="49.5"/>
    <n v="4.7300000000000004"/>
    <n v="24.03"/>
    <n v="8.4"/>
    <x v="0"/>
    <m/>
    <n v="37.160000000000004"/>
    <n v="12.339999999999996"/>
    <s v="OK"/>
  </r>
  <r>
    <x v="50"/>
    <x v="2"/>
    <x v="0"/>
    <s v="07-14637-83715"/>
    <s v="Irroratore a pressione - KD2033"/>
    <n v="1"/>
    <n v="21.9"/>
    <n v="0"/>
    <n v="21.9"/>
    <n v="3.5"/>
    <n v="6.41"/>
    <n v="4.7699999999999996"/>
    <x v="0"/>
    <m/>
    <n v="14.68"/>
    <n v="7.2199999999999989"/>
    <s v="OK"/>
  </r>
  <r>
    <x v="51"/>
    <x v="3"/>
    <x v="0"/>
    <s v="005-26134L20378-A"/>
    <s v="DFL_1050406"/>
    <n v="1"/>
    <n v="55.22"/>
    <n v="0"/>
    <n v="55.22"/>
    <n v="6.63"/>
    <n v="34.111200000000004"/>
    <n v="6.75"/>
    <x v="3"/>
    <m/>
    <n v="47.491200000000006"/>
    <n v="7.7287999999999926"/>
    <s v="OK"/>
  </r>
  <r>
    <x v="51"/>
    <x v="1"/>
    <x v="0"/>
    <s v="PO-098-21117326439031587"/>
    <s v="Magazzino_05"/>
    <n v="1"/>
    <n v="12.98"/>
    <n v="0"/>
    <n v="12.98"/>
    <n v="0"/>
    <n v="6"/>
    <n v="4.7699999999999996"/>
    <x v="3"/>
    <m/>
    <n v="10.77"/>
    <n v="2.2100000000000009"/>
    <s v="OK"/>
  </r>
  <r>
    <x v="52"/>
    <x v="1"/>
    <x v="0"/>
    <s v="PO-098-20723244096633870"/>
    <s v="Manometro - KD1365"/>
    <n v="1"/>
    <n v="22.47"/>
    <n v="0"/>
    <n v="22.47"/>
    <n v="0"/>
    <n v="10.440000000000001"/>
    <n v="4.7699999999999996"/>
    <x v="0"/>
    <m/>
    <n v="15.21"/>
    <n v="7.259999999999998"/>
    <s v="OK"/>
  </r>
  <r>
    <x v="52"/>
    <x v="0"/>
    <x v="0"/>
    <s v="403-5859121-8804351"/>
    <s v="Irroratore a pressione - KD2033"/>
    <n v="1"/>
    <n v="18.989999999999998"/>
    <n v="0"/>
    <n v="18.989999999999998"/>
    <n v="3.59"/>
    <n v="6.41"/>
    <n v="4.7699999999999996"/>
    <x v="0"/>
    <m/>
    <n v="14.77"/>
    <n v="4.2199999999999989"/>
    <s v="OK"/>
  </r>
  <r>
    <x v="52"/>
    <x v="1"/>
    <x v="0"/>
    <s v="PO-098-01487933235833898"/>
    <s v="Crick auto 2,5 T - WDS2490"/>
    <n v="1"/>
    <n v="49.91"/>
    <n v="0"/>
    <n v="49.91"/>
    <n v="0"/>
    <n v="24.03"/>
    <n v="8.4"/>
    <x v="0"/>
    <m/>
    <n v="32.43"/>
    <n v="17.479999999999997"/>
    <s v="OK"/>
  </r>
  <r>
    <x v="52"/>
    <x v="1"/>
    <x v="0"/>
    <s v="PO-098-02040438144630543"/>
    <s v="Motosega a Scoppio 58cc - KD10613"/>
    <n v="1"/>
    <n v="76.27"/>
    <n v="0"/>
    <n v="76.27"/>
    <n v="0"/>
    <n v="39.76"/>
    <n v="8.01"/>
    <x v="0"/>
    <m/>
    <n v="47.769999999999996"/>
    <n v="28.5"/>
    <s v="OK"/>
  </r>
  <r>
    <x v="53"/>
    <x v="1"/>
    <x v="0"/>
    <s v="PO-098-13036646454390534"/>
    <s v="DFL_6048394"/>
    <n v="1"/>
    <n v="11.1"/>
    <n v="0"/>
    <n v="11.1"/>
    <n v="0"/>
    <n v="2.14"/>
    <n v="4.3600000000000003"/>
    <x v="0"/>
    <m/>
    <n v="6.5"/>
    <n v="4.5999999999999996"/>
    <s v="OK"/>
  </r>
  <r>
    <x v="54"/>
    <x v="2"/>
    <x v="0"/>
    <s v="18-14636-02155"/>
    <s v="DFL_606240"/>
    <n v="1"/>
    <n v="239.78"/>
    <n v="0"/>
    <n v="239.78"/>
    <n v="32.369999999999997"/>
    <n v="165.4564"/>
    <n v="4.8499999999999996"/>
    <x v="0"/>
    <m/>
    <n v="202.6764"/>
    <n v="37.1036"/>
    <s v="OK"/>
  </r>
  <r>
    <x v="54"/>
    <x v="2"/>
    <x v="0"/>
    <s v="25-14626-27950"/>
    <s v="Crick auto 2,5 T - WDS2490"/>
    <n v="1"/>
    <n v="50.39"/>
    <n v="0"/>
    <n v="50.39"/>
    <n v="4.82"/>
    <n v="24.03"/>
    <n v="8.4"/>
    <x v="0"/>
    <m/>
    <n v="37.25"/>
    <n v="13.14"/>
    <s v="OK"/>
  </r>
  <r>
    <x v="55"/>
    <x v="0"/>
    <x v="0"/>
    <s v="407-0223465-1350705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55"/>
    <x v="1"/>
    <x v="0"/>
    <s v="PO-098-18119693799032175"/>
    <s v="Manometro - KD1365"/>
    <n v="1"/>
    <n v="22.47"/>
    <n v="0"/>
    <n v="22.47"/>
    <n v="0"/>
    <n v="10.440000000000001"/>
    <n v="4.7699999999999996"/>
    <x v="0"/>
    <m/>
    <n v="15.21"/>
    <n v="7.259999999999998"/>
    <s v="OK"/>
  </r>
  <r>
    <x v="55"/>
    <x v="1"/>
    <x v="0"/>
    <s v="PO-098-18468669325430927"/>
    <s v="Motosega a Scoppio 58cc - KD10613"/>
    <n v="1"/>
    <n v="73.28"/>
    <n v="0"/>
    <n v="73.28"/>
    <n v="0"/>
    <n v="39.76"/>
    <n v="8.01"/>
    <x v="0"/>
    <m/>
    <n v="47.769999999999996"/>
    <n v="25.510000000000005"/>
    <s v="OK"/>
  </r>
  <r>
    <x v="56"/>
    <x v="0"/>
    <x v="0"/>
    <s v="406-6230829-9482714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56"/>
    <x v="0"/>
    <x v="0"/>
    <s v="408-0833550-9456337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56"/>
    <x v="0"/>
    <x v="0"/>
    <s v="171-2598012-6390754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56"/>
    <x v="1"/>
    <x v="0"/>
    <s v="PO-098-03536778309754038"/>
    <s v="Fornello a gas - KD10499"/>
    <n v="1"/>
    <n v="16.57"/>
    <n v="0"/>
    <n v="16.57"/>
    <n v="0"/>
    <n v="8.43"/>
    <n v="4.7699999999999996"/>
    <x v="0"/>
    <m/>
    <n v="13.2"/>
    <n v="3.370000000000001"/>
    <s v="OK"/>
  </r>
  <r>
    <x v="57"/>
    <x v="2"/>
    <x v="0"/>
    <s v="04-14667-75811"/>
    <s v="Miscelatore Per Malta - KD541"/>
    <n v="1"/>
    <n v="46.03"/>
    <n v="0"/>
    <n v="46.03"/>
    <n v="3.5"/>
    <n v="20.970000000000002"/>
    <n v="4.8499999999999996"/>
    <x v="0"/>
    <m/>
    <n v="29.32"/>
    <n v="16.71"/>
    <s v="OK"/>
  </r>
  <r>
    <x v="58"/>
    <x v="1"/>
    <x v="0"/>
    <s v="PO-098-14897064654711863"/>
    <s v="Kit Sollevatore Mobili - KD3019"/>
    <n v="1"/>
    <m/>
    <n v="0"/>
    <n v="0"/>
    <n v="0"/>
    <m/>
    <n v="9.5399999999999991"/>
    <x v="1"/>
    <n v="1"/>
    <n v="9.5399999999999991"/>
    <n v="-9.5399999999999991"/>
    <s v="DA EVITARE"/>
  </r>
  <r>
    <x v="58"/>
    <x v="1"/>
    <x v="0"/>
    <s v="PO-098-14903800242551695"/>
    <s v="DFL_6129342"/>
    <n v="1"/>
    <n v="12.07"/>
    <n v="0"/>
    <n v="12.07"/>
    <n v="0"/>
    <n v="5.8559999999999999"/>
    <n v="4.3600000000000003"/>
    <x v="0"/>
    <m/>
    <n v="10.216000000000001"/>
    <n v="1.8539999999999992"/>
    <s v="OK"/>
  </r>
  <r>
    <x v="58"/>
    <x v="1"/>
    <x v="0"/>
    <s v="PO-098-14922624003191775"/>
    <s v="Motore A Scoppio 210cc - KD1825"/>
    <n v="1"/>
    <m/>
    <n v="0"/>
    <n v="0"/>
    <n v="0"/>
    <m/>
    <n v="16.8"/>
    <x v="1"/>
    <n v="1"/>
    <n v="16.8"/>
    <n v="-16.8"/>
    <s v="DA EVITARE"/>
  </r>
  <r>
    <x v="58"/>
    <x v="0"/>
    <x v="0"/>
    <s v="406-2840811-8440326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58"/>
    <x v="0"/>
    <x v="0"/>
    <s v="405-6324358-6559532"/>
    <s v="Tagliasiepe a batteria - KD5092"/>
    <n v="1"/>
    <n v="59.99"/>
    <n v="0"/>
    <n v="59.99"/>
    <n v="11.3"/>
    <n v="26.82"/>
    <n v="5.87"/>
    <x v="0"/>
    <m/>
    <n v="43.99"/>
    <n v="16"/>
    <s v="OK"/>
  </r>
  <r>
    <x v="58"/>
    <x v="0"/>
    <x v="0"/>
    <s v="407-1335661-9077105"/>
    <s v="Miscelatore Per Malta - KD541"/>
    <n v="1"/>
    <n v="51.99"/>
    <n v="0"/>
    <n v="51.99"/>
    <n v="8.48"/>
    <n v="20.970000000000002"/>
    <n v="4.8499999999999996"/>
    <x v="0"/>
    <m/>
    <n v="34.300000000000004"/>
    <n v="17.689999999999998"/>
    <s v="OK"/>
  </r>
  <r>
    <x v="58"/>
    <x v="1"/>
    <x v="0"/>
    <s v="PO-098-14456886305913335"/>
    <s v="Motore A Scoppio 210cc - KD1825"/>
    <n v="1"/>
    <n v="85.81"/>
    <n v="0"/>
    <n v="85.81"/>
    <n v="0"/>
    <n v="42.629999999999995"/>
    <n v="8.4"/>
    <x v="0"/>
    <m/>
    <n v="51.029999999999994"/>
    <n v="34.780000000000008"/>
    <s v="OK"/>
  </r>
  <r>
    <x v="58"/>
    <x v="0"/>
    <x v="0"/>
    <s v="171-9053895-3305168"/>
    <s v="Motore A Scoppio 210cc - KD1825"/>
    <n v="1"/>
    <n v="99"/>
    <n v="0"/>
    <n v="99"/>
    <n v="18.649999999999999"/>
    <n v="42.629999999999995"/>
    <n v="8.4"/>
    <x v="0"/>
    <m/>
    <n v="69.679999999999993"/>
    <n v="29.320000000000007"/>
    <s v="OK"/>
  </r>
  <r>
    <x v="58"/>
    <x v="1"/>
    <x v="0"/>
    <s v="PO-098-14471497760633438"/>
    <s v="Motozappa 52cc - KD5162"/>
    <n v="1"/>
    <n v="123.18"/>
    <n v="0"/>
    <n v="123.18"/>
    <n v="0"/>
    <n v="64.8"/>
    <n v="10.247999999999999"/>
    <x v="0"/>
    <m/>
    <n v="75.048000000000002"/>
    <n v="48.132000000000005"/>
    <s v="OK"/>
  </r>
  <r>
    <x v="58"/>
    <x v="1"/>
    <x v="0"/>
    <s v="PO-098-14870063023991958"/>
    <s v="DFL_6048394"/>
    <n v="1"/>
    <n v="11.1"/>
    <n v="0"/>
    <n v="11.1"/>
    <n v="0"/>
    <n v="2.14"/>
    <n v="4.3600000000000003"/>
    <x v="0"/>
    <m/>
    <n v="6.5"/>
    <n v="4.5999999999999996"/>
    <s v="OK"/>
  </r>
  <r>
    <x v="58"/>
    <x v="2"/>
    <x v="0"/>
    <s v="23-14643-49389"/>
    <s v="Fresa a tazza - KD12640"/>
    <n v="1"/>
    <n v="35"/>
    <n v="0"/>
    <n v="35"/>
    <n v="0"/>
    <n v="14.47"/>
    <n v="7.1"/>
    <x v="0"/>
    <m/>
    <n v="21.57"/>
    <n v="13.43"/>
    <s v="OK"/>
  </r>
  <r>
    <x v="59"/>
    <x v="1"/>
    <x v="0"/>
    <s v="PO-098-09160917138552261"/>
    <s v="Fornello a gas - KD10499"/>
    <n v="1"/>
    <n v="17.920000000000002"/>
    <n v="0"/>
    <n v="17.920000000000002"/>
    <n v="0"/>
    <n v="8.43"/>
    <n v="4.7699999999999996"/>
    <x v="0"/>
    <m/>
    <n v="13.2"/>
    <n v="4.7200000000000024"/>
    <s v="OK"/>
  </r>
  <r>
    <x v="59"/>
    <x v="1"/>
    <x v="0"/>
    <s v="PO-098-09521779879030044"/>
    <s v="Motozappa 52cc - KD5162"/>
    <n v="1"/>
    <n v="123.18"/>
    <n v="0"/>
    <n v="123.18"/>
    <n v="0"/>
    <n v="64.8"/>
    <n v="10.247999999999999"/>
    <x v="0"/>
    <m/>
    <n v="75.048000000000002"/>
    <n v="48.132000000000005"/>
    <s v="OK"/>
  </r>
  <r>
    <x v="59"/>
    <x v="1"/>
    <x v="0"/>
    <s v="PO-098-09592500050550713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59"/>
    <x v="1"/>
    <x v="0"/>
    <s v="PO-098-09497118428790129"/>
    <s v="Motozappa 52cc - KD5162"/>
    <n v="1"/>
    <n v="121.08"/>
    <n v="0"/>
    <n v="121.08"/>
    <n v="0"/>
    <n v="64.8"/>
    <n v="10.247999999999999"/>
    <x v="0"/>
    <m/>
    <n v="75.048000000000002"/>
    <n v="46.031999999999996"/>
    <s v="OK"/>
  </r>
  <r>
    <x v="59"/>
    <x v="0"/>
    <x v="0"/>
    <s v="402-4015009-2422700"/>
    <s v="DFL_1089706"/>
    <n v="1"/>
    <n v="76.5"/>
    <n v="0"/>
    <n v="76.5"/>
    <n v="14.43"/>
    <n v="49.629599999999996"/>
    <n v="4.7699999999999996"/>
    <x v="0"/>
    <m/>
    <n v="68.829599999999985"/>
    <n v="7.670400000000015"/>
    <s v="OK"/>
  </r>
  <r>
    <x v="57"/>
    <x v="2"/>
    <x v="0"/>
    <s v="08-14674-67506"/>
    <s v="Tagliasiepe a batteria - KD5092"/>
    <n v="1"/>
    <n v="59.99"/>
    <n v="0"/>
    <n v="59.99"/>
    <n v="5.66"/>
    <n v="26.82"/>
    <n v="5.87"/>
    <x v="0"/>
    <m/>
    <n v="38.35"/>
    <n v="21.64"/>
    <s v="OK"/>
  </r>
  <r>
    <x v="57"/>
    <x v="1"/>
    <x v="0"/>
    <s v="PO-098-20199965604473023"/>
    <s v="Cavalletto universale per moto - KD340"/>
    <n v="1"/>
    <n v="22.96"/>
    <n v="0"/>
    <n v="22.96"/>
    <n v="0"/>
    <n v="15.31"/>
    <n v="5.87"/>
    <x v="3"/>
    <m/>
    <n v="21.18"/>
    <n v="1.7800000000000011"/>
    <s v="OK"/>
  </r>
  <r>
    <x v="57"/>
    <x v="1"/>
    <x v="0"/>
    <s v="PO-098-20016477061753989"/>
    <s v="Irroratore a pressione - KD2033"/>
    <n v="1"/>
    <n v="15.23"/>
    <n v="0"/>
    <n v="15.23"/>
    <n v="0"/>
    <n v="6.41"/>
    <n v="4.7699999999999996"/>
    <x v="0"/>
    <m/>
    <n v="11.18"/>
    <n v="4.0500000000000007"/>
    <s v="OK"/>
  </r>
  <r>
    <x v="57"/>
    <x v="1"/>
    <x v="0"/>
    <s v="PO-098-20486792069750352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57"/>
    <x v="1"/>
    <x v="0"/>
    <s v="PO-098-20259157967992607"/>
    <s v="Fornello a gas - KD10499"/>
    <n v="1"/>
    <n v="17.920000000000002"/>
    <n v="0"/>
    <n v="17.920000000000002"/>
    <n v="0"/>
    <n v="8.43"/>
    <n v="4.7699999999999996"/>
    <x v="0"/>
    <m/>
    <n v="13.2"/>
    <n v="4.7200000000000024"/>
    <s v="OK"/>
  </r>
  <r>
    <x v="57"/>
    <x v="1"/>
    <x v="0"/>
    <s v="PO-098-20155893722232260"/>
    <s v="Manometro - KD1365"/>
    <n v="1"/>
    <n v="22.47"/>
    <n v="0"/>
    <n v="22.47"/>
    <n v="0"/>
    <n v="10.440000000000001"/>
    <n v="4.7699999999999996"/>
    <x v="0"/>
    <m/>
    <n v="15.21"/>
    <n v="7.259999999999998"/>
    <s v="OK"/>
  </r>
  <r>
    <x v="57"/>
    <x v="1"/>
    <x v="0"/>
    <s v="PO-098-19982224673913233"/>
    <s v="Fornello a gas - KD10499"/>
    <n v="3"/>
    <n v="44.79"/>
    <n v="0"/>
    <n v="44.79"/>
    <n v="0"/>
    <n v="25.29"/>
    <n v="4.7699999999999996"/>
    <x v="0"/>
    <m/>
    <n v="30.06"/>
    <n v="14.73"/>
    <s v="OK"/>
  </r>
  <r>
    <x v="57"/>
    <x v="1"/>
    <x v="0"/>
    <s v="PO-098-20007352679033147"/>
    <s v="Motozappa 52cc - KD5162"/>
    <n v="1"/>
    <n v="123.18"/>
    <n v="0"/>
    <n v="123.18"/>
    <n v="0"/>
    <n v="64.8"/>
    <n v="10.247999999999999"/>
    <x v="0"/>
    <m/>
    <n v="75.048000000000002"/>
    <n v="48.132000000000005"/>
    <s v="OK"/>
  </r>
  <r>
    <x v="57"/>
    <x v="1"/>
    <x v="0"/>
    <s v="PO-098-20300235254391336"/>
    <s v="Cavalletto moto - KD342"/>
    <n v="1"/>
    <n v="28.57"/>
    <n v="0"/>
    <n v="28.57"/>
    <n v="0"/>
    <n v="15.31"/>
    <n v="5.87"/>
    <x v="0"/>
    <m/>
    <n v="21.18"/>
    <n v="7.3900000000000006"/>
    <s v="OK"/>
  </r>
  <r>
    <x v="57"/>
    <x v="1"/>
    <x v="0"/>
    <s v="PO-098-19961825129593419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57"/>
    <x v="1"/>
    <x v="0"/>
    <s v="PO-098-20156726592632257"/>
    <s v="Fornello a gas - KD10499"/>
    <n v="1"/>
    <n v="17.920000000000002"/>
    <n v="0"/>
    <n v="17.920000000000002"/>
    <n v="0"/>
    <n v="8.43"/>
    <n v="4.7699999999999996"/>
    <x v="0"/>
    <m/>
    <n v="13.2"/>
    <n v="4.7200000000000024"/>
    <s v="OK"/>
  </r>
  <r>
    <x v="57"/>
    <x v="0"/>
    <x v="0"/>
    <s v="402-7539279-7531507"/>
    <s v="Motozappa 52cc - KD5162"/>
    <n v="1"/>
    <n v="149.99"/>
    <n v="0"/>
    <n v="149.99"/>
    <n v="28.28"/>
    <n v="64.8"/>
    <n v="10.247999999999999"/>
    <x v="0"/>
    <m/>
    <n v="103.328"/>
    <n v="46.662000000000006"/>
    <s v="OK"/>
  </r>
  <r>
    <x v="57"/>
    <x v="0"/>
    <x v="0"/>
    <s v="407-4238385-5560320"/>
    <s v="Motore A Scoppio 210cc - KD1825"/>
    <n v="1"/>
    <n v="99"/>
    <n v="0"/>
    <n v="99"/>
    <n v="18.670000000000002"/>
    <n v="42.629999999999995"/>
    <n v="25.200000000000003"/>
    <x v="0"/>
    <m/>
    <n v="86.5"/>
    <n v="12.5"/>
    <s v="OK"/>
  </r>
  <r>
    <x v="57"/>
    <x v="1"/>
    <x v="0"/>
    <s v="PO-098-20526270362230116"/>
    <s v="Fornello a gas - KD10499"/>
    <n v="1"/>
    <n v="17.920000000000002"/>
    <n v="0"/>
    <n v="17.920000000000002"/>
    <n v="0"/>
    <n v="8.43"/>
    <n v="4.7699999999999996"/>
    <x v="0"/>
    <m/>
    <n v="13.2"/>
    <n v="4.7200000000000024"/>
    <s v="OK"/>
  </r>
  <r>
    <x v="60"/>
    <x v="4"/>
    <x v="0"/>
    <s v="MFU9LT5"/>
    <s v="Idealux_8021696322650"/>
    <n v="3"/>
    <n v="377.22"/>
    <n v="0"/>
    <n v="377.22"/>
    <n v="52.8"/>
    <n v="227.21280000000002"/>
    <n v="0"/>
    <x v="3"/>
    <m/>
    <n v="280.01280000000003"/>
    <n v="97.2072"/>
    <s v="OK"/>
  </r>
  <r>
    <x v="60"/>
    <x v="1"/>
    <x v="0"/>
    <s v="PO-098-01138974904951818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60"/>
    <x v="1"/>
    <x v="0"/>
    <s v="PO-098-01235940897910344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60"/>
    <x v="0"/>
    <x v="0"/>
    <s v="407-3338969-9089110"/>
    <s v="DFL_6135986"/>
    <n v="4"/>
    <n v="68.48"/>
    <n v="0"/>
    <n v="68.48"/>
    <n v="6.89"/>
    <n v="20.447200000000002"/>
    <n v="4.3600000000000003"/>
    <x v="0"/>
    <m/>
    <n v="31.697200000000002"/>
    <n v="36.782800000000002"/>
    <s v="OK"/>
  </r>
  <r>
    <x v="60"/>
    <x v="0"/>
    <x v="0"/>
    <s v="403-7901157-8838767"/>
    <s v="Idealux_8021696303390"/>
    <n v="1"/>
    <n v="16"/>
    <n v="0"/>
    <n v="16"/>
    <n v="1.62"/>
    <n v="8.5766000000000009"/>
    <n v="4.7699999999999996"/>
    <x v="0"/>
    <m/>
    <n v="14.9666"/>
    <n v="1.0334000000000003"/>
    <s v="OK"/>
  </r>
  <r>
    <x v="60"/>
    <x v="1"/>
    <x v="0"/>
    <s v="PO-098-01122603776631981"/>
    <s v="Irroratore a pressione - KD2033"/>
    <n v="1"/>
    <n v="14.65"/>
    <n v="0"/>
    <n v="14.65"/>
    <n v="0"/>
    <n v="6.41"/>
    <n v="4.7699999999999996"/>
    <x v="0"/>
    <m/>
    <n v="11.18"/>
    <n v="3.4700000000000006"/>
    <s v="OK"/>
  </r>
  <r>
    <x v="60"/>
    <x v="1"/>
    <x v="0"/>
    <s v="PO-098-00756676224633072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60"/>
    <x v="1"/>
    <x v="0"/>
    <s v="PO-098-01222213000310490"/>
    <s v="Cavalletto moto - KD342"/>
    <n v="1"/>
    <n v="28.57"/>
    <n v="0"/>
    <n v="28.57"/>
    <n v="0"/>
    <n v="15.31"/>
    <n v="5.87"/>
    <x v="0"/>
    <m/>
    <n v="21.18"/>
    <n v="7.3900000000000006"/>
    <s v="OK"/>
  </r>
  <r>
    <x v="60"/>
    <x v="1"/>
    <x v="0"/>
    <s v="PO-098-01276306222710041"/>
    <s v="DFL_805061"/>
    <n v="1"/>
    <n v="54.19"/>
    <n v="0"/>
    <n v="54.19"/>
    <n v="0"/>
    <n v="42.541399999999996"/>
    <n v="12.5"/>
    <x v="0"/>
    <m/>
    <n v="55.041399999999996"/>
    <n v="-0.85139999999999816"/>
    <s v="DA EVITARE"/>
  </r>
  <r>
    <x v="60"/>
    <x v="0"/>
    <x v="0"/>
    <s v="403-7640986-4389135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60"/>
    <x v="0"/>
    <x v="0"/>
    <s v="407-7249557-1545123"/>
    <s v="DFL_313174"/>
    <n v="1"/>
    <n v="25.03"/>
    <n v="0"/>
    <n v="25.03"/>
    <n v="4.72"/>
    <n v="11.211799999999998"/>
    <n v="4.3600000000000003"/>
    <x v="0"/>
    <m/>
    <n v="20.291799999999999"/>
    <n v="4.7382000000000026"/>
    <s v="OK"/>
  </r>
  <r>
    <x v="60"/>
    <x v="0"/>
    <x v="0"/>
    <s v="403-5147335-0297917"/>
    <s v="Irroratore a pressione - KD2033"/>
    <n v="1"/>
    <n v="18.989999999999998"/>
    <n v="0"/>
    <n v="18.989999999999998"/>
    <n v="3.59"/>
    <n v="6.41"/>
    <n v="4.7699999999999996"/>
    <x v="0"/>
    <m/>
    <n v="14.77"/>
    <n v="4.2199999999999989"/>
    <s v="OK"/>
  </r>
  <r>
    <x v="60"/>
    <x v="0"/>
    <x v="0"/>
    <s v="171-8974712-8861107"/>
    <s v="Tagliasiepe a batteria - KD5092"/>
    <n v="1"/>
    <n v="59.99"/>
    <n v="0"/>
    <n v="59.99"/>
    <n v="11.31"/>
    <n v="26.82"/>
    <n v="5.87"/>
    <x v="0"/>
    <m/>
    <n v="44"/>
    <n v="15.990000000000002"/>
    <s v="OK"/>
  </r>
  <r>
    <x v="60"/>
    <x v="0"/>
    <x v="0"/>
    <s v="408-6916142-8148300"/>
    <s v="DFL_313174"/>
    <n v="1"/>
    <n v="25.03"/>
    <n v="0"/>
    <n v="25.03"/>
    <n v="4.72"/>
    <n v="11.211799999999998"/>
    <n v="4.3600000000000003"/>
    <x v="0"/>
    <m/>
    <n v="20.291799999999999"/>
    <n v="4.7382000000000026"/>
    <s v="OK"/>
  </r>
  <r>
    <x v="60"/>
    <x v="0"/>
    <x v="0"/>
    <s v="171-9227330-4510766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61"/>
    <x v="3"/>
    <x v="0"/>
    <s v="005-26144L32588-A"/>
    <s v="DFL_8048812"/>
    <n v="1"/>
    <n v="19.149999999999999"/>
    <n v="0"/>
    <n v="19.149999999999999"/>
    <n v="2.2999999999999998"/>
    <n v="7.8568000000000007"/>
    <n v="4.3600000000000003"/>
    <x v="3"/>
    <m/>
    <n v="14.5168"/>
    <n v="4.6331999999999987"/>
    <s v="OK"/>
  </r>
  <r>
    <x v="61"/>
    <x v="0"/>
    <x v="0"/>
    <s v="171-5714013-2572341"/>
    <s v="Tagliasiepe a batteria - KD5092"/>
    <n v="1"/>
    <n v="59.99"/>
    <n v="0"/>
    <n v="59.99"/>
    <n v="11.31"/>
    <n v="26.82"/>
    <n v="5.87"/>
    <x v="0"/>
    <m/>
    <n v="44"/>
    <n v="15.990000000000002"/>
    <s v="OK"/>
  </r>
  <r>
    <x v="61"/>
    <x v="1"/>
    <x v="0"/>
    <s v="PO-098-11889148673912382"/>
    <s v="Motore A Scoppio 210cc - KD1825"/>
    <n v="1"/>
    <n v="85.81"/>
    <n v="0"/>
    <n v="85.81"/>
    <n v="0"/>
    <n v="42.629999999999995"/>
    <n v="8.4"/>
    <x v="0"/>
    <m/>
    <n v="51.029999999999994"/>
    <n v="34.780000000000008"/>
    <s v="OK"/>
  </r>
  <r>
    <x v="61"/>
    <x v="1"/>
    <x v="0"/>
    <s v="PO-098-11881919553912363"/>
    <s v="Miscelatore Per Malta - KD541"/>
    <n v="1"/>
    <n v="44.78"/>
    <n v="0"/>
    <n v="44.78"/>
    <n v="0"/>
    <n v="20.970000000000002"/>
    <n v="4.8499999999999996"/>
    <x v="0"/>
    <m/>
    <n v="25.82"/>
    <n v="18.96"/>
    <s v="OK"/>
  </r>
  <r>
    <x v="61"/>
    <x v="0"/>
    <x v="0"/>
    <s v="406-2579749-6759548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61"/>
    <x v="1"/>
    <x v="0"/>
    <s v="PO-098-12148051478391862"/>
    <s v="Fornello a gas - KD10499"/>
    <n v="1"/>
    <n v="17.920000000000002"/>
    <n v="0"/>
    <n v="17.920000000000002"/>
    <n v="0"/>
    <n v="8.43"/>
    <n v="4.7699999999999996"/>
    <x v="0"/>
    <m/>
    <n v="13.2"/>
    <n v="4.7200000000000024"/>
    <s v="OK"/>
  </r>
  <r>
    <x v="61"/>
    <x v="1"/>
    <x v="0"/>
    <s v="PO-098-12368640571510612"/>
    <s v="Fornello a gas - KD10499"/>
    <n v="1"/>
    <n v="17.920000000000002"/>
    <n v="0"/>
    <n v="17.920000000000002"/>
    <n v="0"/>
    <n v="8.43"/>
    <n v="4.7699999999999996"/>
    <x v="0"/>
    <m/>
    <n v="13.2"/>
    <n v="4.7200000000000024"/>
    <s v="OK"/>
  </r>
  <r>
    <x v="61"/>
    <x v="1"/>
    <x v="0"/>
    <s v="PO-098-11829422277753826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61"/>
    <x v="1"/>
    <x v="0"/>
    <s v="PO-098-12007586373752572"/>
    <s v="Irroratore a pressione - KD2033"/>
    <n v="1"/>
    <n v="15.73"/>
    <n v="0"/>
    <n v="15.73"/>
    <n v="0"/>
    <n v="6.41"/>
    <n v="4.7699999999999996"/>
    <x v="0"/>
    <m/>
    <n v="11.18"/>
    <n v="4.5500000000000007"/>
    <s v="OK"/>
  </r>
  <r>
    <x v="61"/>
    <x v="2"/>
    <x v="0"/>
    <s v="21-14660-42667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61"/>
    <x v="2"/>
    <x v="0"/>
    <s v="04-14688-71562"/>
    <s v="Fresa a tazza - KD12640"/>
    <n v="1"/>
    <n v="33.25"/>
    <n v="0"/>
    <n v="33.25"/>
    <n v="4.8"/>
    <n v="14.47"/>
    <n v="7.1"/>
    <x v="0"/>
    <m/>
    <n v="26.369999999999997"/>
    <n v="6.8800000000000026"/>
    <s v="OK"/>
  </r>
  <r>
    <x v="61"/>
    <x v="0"/>
    <x v="0"/>
    <s v="405-3666352-1664350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61"/>
    <x v="1"/>
    <x v="0"/>
    <s v="PO-098-11961888485752844"/>
    <s v="DFL_6129346"/>
    <n v="1"/>
    <n v="11.48"/>
    <n v="0"/>
    <n v="11.48"/>
    <n v="0"/>
    <n v="10.918999999999999"/>
    <n v="4.3600000000000003"/>
    <x v="3"/>
    <m/>
    <n v="15.279"/>
    <n v="-3.7989999999999995"/>
    <s v="DA EVITARE"/>
  </r>
  <r>
    <x v="61"/>
    <x v="0"/>
    <x v="0"/>
    <s v="408-6074105-6055535"/>
    <s v="Tagliasiepe a batteria - KD5092"/>
    <n v="1"/>
    <n v="59.99"/>
    <n v="0"/>
    <n v="59.99"/>
    <n v="11.31"/>
    <n v="26.82"/>
    <n v="5.87"/>
    <x v="0"/>
    <m/>
    <n v="44"/>
    <n v="15.990000000000002"/>
    <s v="OK"/>
  </r>
  <r>
    <x v="62"/>
    <x v="2"/>
    <x v="0"/>
    <s v="05-14691-49515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62"/>
    <x v="2"/>
    <x v="0"/>
    <s v="02-14696-42964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62"/>
    <x v="2"/>
    <x v="0"/>
    <s v="16-14674-40337"/>
    <s v="Miscelatore Per Malta - KD541"/>
    <n v="1"/>
    <n v="45.6"/>
    <n v="0"/>
    <n v="45.6"/>
    <n v="4.38"/>
    <n v="20.970000000000002"/>
    <n v="4.8499999999999996"/>
    <x v="0"/>
    <m/>
    <n v="30.200000000000003"/>
    <n v="15.399999999999999"/>
    <s v="OK"/>
  </r>
  <r>
    <x v="62"/>
    <x v="2"/>
    <x v="0"/>
    <s v="17-14672-77170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62"/>
    <x v="0"/>
    <x v="0"/>
    <s v="171-4242138-3325914"/>
    <s v="Tagliasiepe a batteria - KD5092"/>
    <n v="1"/>
    <n v="59.99"/>
    <n v="0"/>
    <n v="59.99"/>
    <n v="11.3"/>
    <n v="26.82"/>
    <n v="5.87"/>
    <x v="0"/>
    <m/>
    <n v="43.99"/>
    <n v="16"/>
    <s v="OK"/>
  </r>
  <r>
    <x v="62"/>
    <x v="0"/>
    <x v="0"/>
    <s v="403-4382235-5872336"/>
    <s v="Tagliasiepe a batteria - KD5092"/>
    <n v="1"/>
    <n v="59.99"/>
    <n v="0"/>
    <n v="59.99"/>
    <n v="11.3"/>
    <n v="26.82"/>
    <n v="5.87"/>
    <x v="0"/>
    <m/>
    <n v="43.99"/>
    <n v="16"/>
    <s v="OK"/>
  </r>
  <r>
    <x v="62"/>
    <x v="0"/>
    <x v="0"/>
    <s v="408-9203928-0100305"/>
    <s v="Idealux_8021696192291"/>
    <n v="7"/>
    <n v="315"/>
    <n v="0"/>
    <n v="315"/>
    <n v="59.37"/>
    <n v="186.37939999999986"/>
    <n v="4.8499999999999996"/>
    <x v="0"/>
    <m/>
    <n v="250.59939999999986"/>
    <n v="64.400600000000139"/>
    <s v="OK"/>
  </r>
  <r>
    <x v="62"/>
    <x v="1"/>
    <x v="0"/>
    <s v="PO-098-06276407583354028"/>
    <s v="Fresa a tazza - KD12640"/>
    <n v="1"/>
    <n v="34.119999999999997"/>
    <n v="0"/>
    <n v="34.119999999999997"/>
    <n v="0"/>
    <n v="14.47"/>
    <n v="7.1"/>
    <x v="0"/>
    <m/>
    <n v="21.57"/>
    <n v="12.549999999999997"/>
    <s v="OK"/>
  </r>
  <r>
    <x v="62"/>
    <x v="1"/>
    <x v="0"/>
    <s v="PO-098-06279449805434010"/>
    <s v="Manometro - KD1365"/>
    <n v="1"/>
    <m/>
    <n v="0"/>
    <n v="0"/>
    <n v="0"/>
    <m/>
    <n v="9.5399999999999991"/>
    <x v="1"/>
    <n v="1"/>
    <n v="9.5399999999999991"/>
    <n v="-9.5399999999999991"/>
    <s v="DA EVITARE"/>
  </r>
  <r>
    <x v="62"/>
    <x v="1"/>
    <x v="0"/>
    <s v="PO-098-06643912645751838"/>
    <s v="Manometro - KD1365"/>
    <n v="1"/>
    <n v="22.23"/>
    <n v="0"/>
    <n v="22.23"/>
    <n v="0"/>
    <n v="10.440000000000001"/>
    <n v="4.7699999999999996"/>
    <x v="0"/>
    <m/>
    <n v="15.21"/>
    <n v="7.02"/>
    <s v="OK"/>
  </r>
  <r>
    <x v="62"/>
    <x v="1"/>
    <x v="0"/>
    <s v="PO-098-06756313211510208"/>
    <s v="DFL_612734"/>
    <n v="2"/>
    <n v="27.71"/>
    <n v="0"/>
    <n v="27.71"/>
    <n v="0"/>
    <n v="8.1495999999999995"/>
    <n v="4.3600000000000003"/>
    <x v="0"/>
    <m/>
    <n v="12.509599999999999"/>
    <n v="15.200400000000002"/>
    <s v="OK"/>
  </r>
  <r>
    <x v="62"/>
    <x v="1"/>
    <x v="0"/>
    <s v="PO-098-06687362181751581"/>
    <s v="Motore A Scoppio 210cc - KD1825"/>
    <n v="1"/>
    <n v="85.81"/>
    <n v="0"/>
    <n v="85.81"/>
    <n v="0"/>
    <n v="42.629999999999995"/>
    <n v="8.4"/>
    <x v="0"/>
    <m/>
    <n v="51.029999999999994"/>
    <n v="34.780000000000008"/>
    <s v="OK"/>
  </r>
  <r>
    <x v="63"/>
    <x v="2"/>
    <x v="0"/>
    <s v="12-14682-46130"/>
    <s v="Miscelatore Per Malta - KD541"/>
    <n v="1"/>
    <n v="45.6"/>
    <n v="0"/>
    <n v="45.6"/>
    <n v="0"/>
    <n v="20.970000000000002"/>
    <n v="4.8499999999999996"/>
    <x v="0"/>
    <m/>
    <n v="25.82"/>
    <n v="19.78"/>
    <s v="OK"/>
  </r>
  <r>
    <x v="63"/>
    <x v="1"/>
    <x v="0"/>
    <s v="PO-098-17257853397113150"/>
    <s v="Irroratore a pressione - KD2033"/>
    <n v="1"/>
    <n v="15.6"/>
    <n v="0"/>
    <n v="15.6"/>
    <n v="0"/>
    <n v="6.41"/>
    <n v="4.7699999999999996"/>
    <x v="0"/>
    <m/>
    <n v="11.18"/>
    <n v="4.42"/>
    <s v="OK"/>
  </r>
  <r>
    <x v="63"/>
    <x v="1"/>
    <x v="0"/>
    <s v="PO-098-17397431379832190"/>
    <s v="Motosega a Scoppio 58cc - KD10613"/>
    <n v="1"/>
    <n v="71.759999999999991"/>
    <n v="0"/>
    <n v="71.759999999999991"/>
    <n v="0"/>
    <n v="39.76"/>
    <n v="8.01"/>
    <x v="3"/>
    <m/>
    <n v="47.769999999999996"/>
    <n v="23.989999999999995"/>
    <s v="OK"/>
  </r>
  <r>
    <x v="63"/>
    <x v="1"/>
    <x v="0"/>
    <s v="PO-098-17509909208952609"/>
    <s v="Irroratore a pressione - KD2033"/>
    <n v="1"/>
    <n v="15.4"/>
    <n v="0"/>
    <n v="15.4"/>
    <n v="0"/>
    <n v="6.41"/>
    <n v="4.7699999999999996"/>
    <x v="0"/>
    <m/>
    <n v="11.18"/>
    <n v="4.2200000000000006"/>
    <s v="OK"/>
  </r>
  <r>
    <x v="63"/>
    <x v="0"/>
    <x v="0"/>
    <s v="405-8719889-3295558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63"/>
    <x v="0"/>
    <x v="0"/>
    <s v="407-8284694-4065136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63"/>
    <x v="0"/>
    <x v="0"/>
    <s v="408-2811976-4254715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63"/>
    <x v="0"/>
    <x v="0"/>
    <s v="404-3696234-7575504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63"/>
    <x v="0"/>
    <x v="0"/>
    <s v="408-0040046-3379554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63"/>
    <x v="0"/>
    <x v="0"/>
    <s v="408-4548079-5990716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64"/>
    <x v="1"/>
    <x v="0"/>
    <s v="PO-098-05243460309111931"/>
    <s v="Cavalletto moto - KD342"/>
    <n v="1"/>
    <m/>
    <n v="0"/>
    <n v="0"/>
    <n v="0"/>
    <m/>
    <n v="11.74"/>
    <x v="1"/>
    <n v="1"/>
    <n v="11.74"/>
    <n v="-11.74"/>
    <s v="DA EVITARE"/>
  </r>
  <r>
    <x v="64"/>
    <x v="0"/>
    <x v="0"/>
    <s v="171-6272251-9246766"/>
    <s v="DFL_102656"/>
    <n v="1"/>
    <n v="37.090000000000003"/>
    <n v="0"/>
    <n v="37.090000000000003"/>
    <n v="6.07"/>
    <n v="19.654199999999999"/>
    <n v="4.3600000000000003"/>
    <x v="0"/>
    <m/>
    <n v="30.084199999999999"/>
    <n v="7.0058000000000042"/>
    <s v="OK"/>
  </r>
  <r>
    <x v="64"/>
    <x v="0"/>
    <x v="0"/>
    <s v="402-8526131-3130714"/>
    <s v="Idealux_8021696308227"/>
    <n v="2"/>
    <n v="24"/>
    <n v="0"/>
    <n v="24"/>
    <n v="3.92"/>
    <n v="15.384199999999998"/>
    <n v="4.7699999999999996"/>
    <x v="3"/>
    <m/>
    <n v="24.074199999999998"/>
    <n v="-7.4199999999997601E-2"/>
    <s v="DA EVITARE"/>
  </r>
  <r>
    <x v="64"/>
    <x v="0"/>
    <x v="0"/>
    <s v="406-7566476-7297128"/>
    <s v="Tagliasiepe a batteria - KD5092"/>
    <n v="1"/>
    <n v="59.99"/>
    <n v="0"/>
    <n v="59.99"/>
    <n v="11.31"/>
    <n v="26.82"/>
    <n v="5.87"/>
    <x v="0"/>
    <m/>
    <n v="44"/>
    <n v="15.990000000000002"/>
    <s v="OK"/>
  </r>
  <r>
    <x v="64"/>
    <x v="0"/>
    <x v="0"/>
    <s v="404-9112963-1885164"/>
    <s v="Idealux_8021696243849"/>
    <n v="1"/>
    <n v="14"/>
    <n v="0"/>
    <n v="14"/>
    <n v="1.41"/>
    <n v="10.0528"/>
    <n v="4.7699999999999996"/>
    <x v="0"/>
    <m/>
    <n v="16.232799999999997"/>
    <n v="-2.2327999999999975"/>
    <s v="DA EVITARE"/>
  </r>
  <r>
    <x v="64"/>
    <x v="0"/>
    <x v="0"/>
    <s v="406-6974843-3418701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64"/>
    <x v="0"/>
    <x v="0"/>
    <s v="406-8714580-2415563"/>
    <s v="Tagliabordi con ruote - KD5129"/>
    <n v="1"/>
    <n v="39.99"/>
    <n v="0"/>
    <n v="39.99"/>
    <n v="7.54"/>
    <n v="20.85"/>
    <n v="5.87"/>
    <x v="0"/>
    <m/>
    <n v="34.26"/>
    <n v="5.730000000000004"/>
    <s v="OK"/>
  </r>
  <r>
    <x v="64"/>
    <x v="0"/>
    <x v="0"/>
    <s v="405-8235882-6157928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64"/>
    <x v="1"/>
    <x v="0"/>
    <s v="PO-098-04883490015353117"/>
    <s v="Cavalletto moto - KD342"/>
    <n v="1"/>
    <n v="28.51"/>
    <n v="0"/>
    <n v="28.51"/>
    <n v="0"/>
    <n v="15.31"/>
    <n v="5.87"/>
    <x v="3"/>
    <m/>
    <n v="21.18"/>
    <n v="7.3300000000000018"/>
    <s v="OK"/>
  </r>
  <r>
    <x v="64"/>
    <x v="0"/>
    <x v="0"/>
    <s v="403-9397566-6318762"/>
    <s v="Tagliabordi con ruote - KD5129"/>
    <n v="1"/>
    <n v="39.99"/>
    <n v="0"/>
    <n v="39.99"/>
    <n v="7.54"/>
    <n v="20.85"/>
    <n v="5.87"/>
    <x v="0"/>
    <m/>
    <n v="34.26"/>
    <n v="5.730000000000004"/>
    <s v="OK"/>
  </r>
  <r>
    <x v="64"/>
    <x v="0"/>
    <x v="0"/>
    <s v="171-2631395-1225900"/>
    <s v="Tagliasiepe a batteria - KD5092"/>
    <n v="1"/>
    <n v="59.99"/>
    <n v="0"/>
    <n v="59.99"/>
    <n v="11.31"/>
    <n v="26.82"/>
    <n v="5.87"/>
    <x v="0"/>
    <m/>
    <n v="44"/>
    <n v="15.990000000000002"/>
    <s v="OK"/>
  </r>
  <r>
    <x v="64"/>
    <x v="0"/>
    <x v="0"/>
    <s v="405-8413291-9773133"/>
    <s v="Magazzino_05"/>
    <n v="1"/>
    <n v="14.9"/>
    <n v="0"/>
    <n v="14.9"/>
    <n v="1.51"/>
    <n v="6"/>
    <n v="4.7699999999999996"/>
    <x v="0"/>
    <m/>
    <n v="12.28"/>
    <n v="2.620000000000001"/>
    <s v="OK"/>
  </r>
  <r>
    <x v="64"/>
    <x v="2"/>
    <x v="0"/>
    <s v="09-14691-89909"/>
    <s v="Piastra induzione singola - KD4168"/>
    <n v="1"/>
    <n v="22.8"/>
    <n v="0"/>
    <n v="22.8"/>
    <n v="2.37"/>
    <n v="12.64"/>
    <n v="4.8499999999999996"/>
    <x v="0"/>
    <m/>
    <n v="19.86"/>
    <n v="2.9400000000000013"/>
    <s v="OK"/>
  </r>
  <r>
    <x v="64"/>
    <x v="2"/>
    <x v="0"/>
    <s v="12-14687-47530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64"/>
    <x v="2"/>
    <x v="0"/>
    <s v="08-14695-61745"/>
    <s v="Piastra induzione singola - KD4168"/>
    <n v="1"/>
    <n v="22.8"/>
    <n v="0"/>
    <n v="22.8"/>
    <n v="2.37"/>
    <n v="12.64"/>
    <n v="4.8499999999999996"/>
    <x v="0"/>
    <m/>
    <n v="19.86"/>
    <n v="2.9400000000000013"/>
    <s v="OK"/>
  </r>
  <r>
    <x v="64"/>
    <x v="2"/>
    <x v="0"/>
    <s v="20-14677-15694"/>
    <s v="Piastra induzione singola - KD4168"/>
    <n v="3"/>
    <n v="68.400000000000006"/>
    <n v="0"/>
    <n v="68.400000000000006"/>
    <n v="2.37"/>
    <n v="37.92"/>
    <n v="4.8499999999999996"/>
    <x v="0"/>
    <m/>
    <n v="45.14"/>
    <n v="23.260000000000005"/>
    <s v="OK"/>
  </r>
  <r>
    <x v="65"/>
    <x v="2"/>
    <x v="0"/>
    <s v="11-14693-41498"/>
    <s v="Motosega a Scoppio 58cc - KD10613"/>
    <n v="1"/>
    <n v="78.75"/>
    <n v="0"/>
    <n v="78.75"/>
    <n v="7.33"/>
    <n v="39.76"/>
    <n v="8.01"/>
    <x v="0"/>
    <m/>
    <n v="55.099999999999994"/>
    <n v="23.650000000000006"/>
    <s v="OK"/>
  </r>
  <r>
    <x v="65"/>
    <x v="2"/>
    <x v="0"/>
    <s v="07-14702-32841"/>
    <s v="Kit messa in fase motori diesel - KD12526"/>
    <n v="1"/>
    <n v="26.5"/>
    <n v="0"/>
    <n v="26.5"/>
    <n v="4.1500000000000004"/>
    <n v="6.18"/>
    <n v="4.7699999999999996"/>
    <x v="0"/>
    <m/>
    <n v="15.1"/>
    <n v="11.4"/>
    <s v="OK"/>
  </r>
  <r>
    <x v="65"/>
    <x v="1"/>
    <x v="0"/>
    <s v="PO-098-16390868659830063"/>
    <s v="Motore A Scoppio 210cc - KD1825"/>
    <n v="1"/>
    <n v="85.81"/>
    <n v="0"/>
    <n v="85.81"/>
    <n v="0"/>
    <n v="42.629999999999995"/>
    <n v="8.4"/>
    <x v="3"/>
    <m/>
    <n v="51.029999999999994"/>
    <n v="34.780000000000008"/>
    <s v="OK"/>
  </r>
  <r>
    <x v="65"/>
    <x v="1"/>
    <x v="0"/>
    <s v="PO-098-16232099413111136"/>
    <s v="Motosega a Scoppio 58cc - KD10613"/>
    <n v="1"/>
    <n v="76.27"/>
    <n v="0"/>
    <n v="76.27"/>
    <n v="0"/>
    <n v="39.76"/>
    <n v="8.01"/>
    <x v="3"/>
    <m/>
    <n v="47.769999999999996"/>
    <n v="28.5"/>
    <s v="OK"/>
  </r>
  <r>
    <x v="65"/>
    <x v="1"/>
    <x v="0"/>
    <s v="PO-098-16254734953592027"/>
    <s v="Fresa a tazza - KD12640"/>
    <n v="1"/>
    <n v="34.659999999999997"/>
    <n v="0"/>
    <n v="34.659999999999997"/>
    <n v="0"/>
    <n v="14.47"/>
    <n v="7.1"/>
    <x v="3"/>
    <m/>
    <n v="21.57"/>
    <n v="13.089999999999996"/>
    <s v="OK"/>
  </r>
  <r>
    <x v="65"/>
    <x v="0"/>
    <x v="0"/>
    <s v="402-5628796-4825950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65"/>
    <x v="0"/>
    <x v="0"/>
    <s v="407-5243781-0061149"/>
    <s v="Motosega a Scoppio 58cc - KD10613"/>
    <n v="1"/>
    <n v="87.99"/>
    <n v="0"/>
    <n v="87.99"/>
    <n v="14.36"/>
    <n v="39.76"/>
    <n v="8.01"/>
    <x v="0"/>
    <m/>
    <n v="62.129999999999995"/>
    <n v="25.86"/>
    <s v="OK"/>
  </r>
  <r>
    <x v="65"/>
    <x v="3"/>
    <x v="0"/>
    <s v="005-26148L46365-A"/>
    <s v="Miscelatore Per Malta - KD541"/>
    <n v="1"/>
    <n v="51.99"/>
    <n v="0"/>
    <n v="51.99"/>
    <n v="6.24"/>
    <n v="20.970000000000002"/>
    <n v="4.8499999999999996"/>
    <x v="3"/>
    <m/>
    <n v="32.06"/>
    <n v="19.93"/>
    <s v="OK"/>
  </r>
  <r>
    <x v="65"/>
    <x v="3"/>
    <x v="0"/>
    <s v="005-26148L56684-A"/>
    <s v="Miscelatore Per Malta - KD541"/>
    <n v="1"/>
    <n v="51.99"/>
    <n v="0"/>
    <n v="51.99"/>
    <n v="6.24"/>
    <n v="20.970000000000002"/>
    <n v="4.8499999999999996"/>
    <x v="3"/>
    <m/>
    <n v="32.06"/>
    <n v="19.93"/>
    <s v="OK"/>
  </r>
  <r>
    <x v="66"/>
    <x v="2"/>
    <x v="0"/>
    <s v="09-14701-35879"/>
    <s v="Piastra induzione singola - KD4168"/>
    <n v="1"/>
    <n v="22.8"/>
    <n v="0"/>
    <n v="22.8"/>
    <n v="2.37"/>
    <n v="12.64"/>
    <n v="4.8499999999999996"/>
    <x v="0"/>
    <m/>
    <n v="19.86"/>
    <n v="2.9400000000000013"/>
    <s v="OK"/>
  </r>
  <r>
    <x v="66"/>
    <x v="2"/>
    <x v="0"/>
    <s v="18-14688-69223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66"/>
    <x v="2"/>
    <x v="0"/>
    <s v="18-14690-73313"/>
    <s v="Manometro - KD1365"/>
    <n v="1"/>
    <n v="14.24"/>
    <n v="0"/>
    <n v="14.24"/>
    <n v="2.25"/>
    <n v="10.440000000000001"/>
    <n v="4.7699999999999996"/>
    <x v="0"/>
    <m/>
    <n v="17.46"/>
    <n v="-3.2200000000000006"/>
    <s v="DA EVITARE"/>
  </r>
  <r>
    <x v="66"/>
    <x v="1"/>
    <x v="0"/>
    <s v="PO-098-10428875973753918"/>
    <s v="Cavalletto moto - KD342"/>
    <n v="1"/>
    <n v="28.51"/>
    <n v="0"/>
    <n v="28.51"/>
    <n v="0"/>
    <n v="15.31"/>
    <n v="5.87"/>
    <x v="3"/>
    <m/>
    <n v="21.18"/>
    <n v="7.3300000000000018"/>
    <s v="OK"/>
  </r>
  <r>
    <x v="66"/>
    <x v="1"/>
    <x v="0"/>
    <s v="PO-098-16283196903031665"/>
    <s v="Kit messa in fase motori diesel - KD12526"/>
    <n v="1"/>
    <n v="20.350000000000001"/>
    <n v="0"/>
    <n v="20.350000000000001"/>
    <n v="0"/>
    <n v="6.18"/>
    <n v="4.7699999999999996"/>
    <x v="3"/>
    <m/>
    <n v="10.95"/>
    <n v="9.4000000000000021"/>
    <s v="OK"/>
  </r>
  <r>
    <x v="66"/>
    <x v="1"/>
    <x v="0"/>
    <s v="PO-098-10498975219832540"/>
    <s v="Motosega a Scoppio 58cc - KD10613"/>
    <n v="1"/>
    <n v="76.27"/>
    <n v="0"/>
    <n v="76.27"/>
    <n v="0"/>
    <n v="39.76"/>
    <n v="8.01"/>
    <x v="3"/>
    <m/>
    <n v="47.769999999999996"/>
    <n v="28.5"/>
    <s v="OK"/>
  </r>
  <r>
    <x v="67"/>
    <x v="2"/>
    <x v="0"/>
    <s v="11-14702-00497"/>
    <s v="Piastra induzione singola - KD4168"/>
    <n v="1"/>
    <n v="22.8"/>
    <n v="0"/>
    <n v="22.8"/>
    <n v="2.37"/>
    <n v="12.64"/>
    <n v="4.8499999999999996"/>
    <x v="0"/>
    <m/>
    <n v="19.86"/>
    <n v="2.9400000000000013"/>
    <s v="OK"/>
  </r>
  <r>
    <x v="67"/>
    <x v="1"/>
    <x v="0"/>
    <s v="PO-098-21583944704632836"/>
    <s v="Cavalletto moto - KD342"/>
    <n v="1"/>
    <n v="28.51"/>
    <n v="0"/>
    <n v="28.51"/>
    <n v="0"/>
    <n v="15.31"/>
    <n v="5.87"/>
    <x v="3"/>
    <m/>
    <n v="21.18"/>
    <n v="7.3300000000000018"/>
    <s v="OK"/>
  </r>
  <r>
    <x v="67"/>
    <x v="0"/>
    <x v="0"/>
    <s v="408-4835314-7784303"/>
    <s v="Tagliabordi con ruote - KD5129"/>
    <n v="1"/>
    <n v="47.99"/>
    <n v="0"/>
    <n v="47.99"/>
    <n v="9.06"/>
    <n v="20.85"/>
    <n v="5.87"/>
    <x v="0"/>
    <m/>
    <n v="35.78"/>
    <n v="12.21"/>
    <s v="OK"/>
  </r>
  <r>
    <x v="67"/>
    <x v="3"/>
    <x v="0"/>
    <s v="005-26150L40684-A"/>
    <s v="DFL_6119936"/>
    <n v="1"/>
    <n v="81.5"/>
    <n v="0"/>
    <n v="81.5"/>
    <n v="8.15"/>
    <n v="54.716999999999999"/>
    <n v="4.7699999999999996"/>
    <x v="3"/>
    <m/>
    <n v="67.637"/>
    <n v="13.863"/>
    <s v="OK"/>
  </r>
  <r>
    <x v="68"/>
    <x v="2"/>
    <x v="0"/>
    <s v="25-14683-91613"/>
    <s v="Piastra induzione singola - KD4168"/>
    <n v="1"/>
    <n v="22.8"/>
    <n v="0"/>
    <n v="22.8"/>
    <n v="2.37"/>
    <n v="12.64"/>
    <n v="4.8499999999999996"/>
    <x v="0"/>
    <m/>
    <n v="19.86"/>
    <n v="2.9400000000000013"/>
    <s v="OK"/>
  </r>
  <r>
    <x v="68"/>
    <x v="2"/>
    <x v="0"/>
    <s v="24-14700-39903"/>
    <s v="Piastra induzione singola - KD4168"/>
    <n v="1"/>
    <n v="22.8"/>
    <n v="0"/>
    <n v="22.8"/>
    <n v="2.37"/>
    <n v="12.64"/>
    <n v="4.8499999999999996"/>
    <x v="0"/>
    <m/>
    <n v="19.86"/>
    <n v="2.9400000000000013"/>
    <s v="OK"/>
  </r>
  <r>
    <x v="68"/>
    <x v="2"/>
    <x v="0"/>
    <s v="21-14690-46275"/>
    <s v="Piastra induzione singola - KD4168"/>
    <n v="1"/>
    <n v="22.8"/>
    <n v="0"/>
    <n v="22.8"/>
    <n v="2.37"/>
    <n v="12.64"/>
    <n v="4.8499999999999996"/>
    <x v="0"/>
    <m/>
    <n v="19.86"/>
    <n v="2.9400000000000013"/>
    <s v="OK"/>
  </r>
  <r>
    <x v="68"/>
    <x v="1"/>
    <x v="0"/>
    <s v="PO-098-02464633295991276"/>
    <s v="Fresa a tazza - KD12640"/>
    <n v="1"/>
    <n v="34.659999999999997"/>
    <n v="0"/>
    <n v="34.659999999999997"/>
    <n v="0"/>
    <n v="14.47"/>
    <n v="7.1"/>
    <x v="3"/>
    <m/>
    <n v="21.57"/>
    <n v="13.089999999999996"/>
    <s v="OK"/>
  </r>
  <r>
    <x v="68"/>
    <x v="1"/>
    <x v="0"/>
    <s v="PO-098-02581150762870390"/>
    <s v="Cavalletto moto - KD342"/>
    <n v="1"/>
    <n v="28.51"/>
    <n v="0"/>
    <n v="28.51"/>
    <n v="0"/>
    <n v="15.31"/>
    <n v="5.87"/>
    <x v="3"/>
    <m/>
    <n v="21.18"/>
    <n v="7.3300000000000018"/>
    <s v="OK"/>
  </r>
  <r>
    <x v="68"/>
    <x v="0"/>
    <x v="0"/>
    <s v="406-7611413-2055502"/>
    <s v="DFL_313174"/>
    <n v="1"/>
    <n v="25.03"/>
    <n v="0"/>
    <n v="25.03"/>
    <n v="4.72"/>
    <n v="11.211799999999998"/>
    <n v="4.3600000000000003"/>
    <x v="0"/>
    <m/>
    <n v="20.291799999999999"/>
    <n v="4.7382000000000026"/>
    <s v="OK"/>
  </r>
  <r>
    <x v="68"/>
    <x v="0"/>
    <x v="0"/>
    <s v="406-1668564-2851501"/>
    <s v="Irroratore a pressione - KD2033"/>
    <n v="1"/>
    <n v="18.989999999999998"/>
    <n v="0"/>
    <n v="18.989999999999998"/>
    <n v="3.59"/>
    <n v="6.41"/>
    <n v="4.7699999999999996"/>
    <x v="3"/>
    <m/>
    <n v="14.77"/>
    <n v="4.2199999999999989"/>
    <s v="OK"/>
  </r>
  <r>
    <x v="68"/>
    <x v="3"/>
    <x v="0"/>
    <s v="005-26151L42715-A"/>
    <s v="Miscelatore Per Malta - KD541"/>
    <n v="1"/>
    <n v="51.99"/>
    <n v="0"/>
    <n v="51.99"/>
    <n v="6.24"/>
    <n v="20.970000000000002"/>
    <n v="4.8499999999999996"/>
    <x v="3"/>
    <m/>
    <n v="32.06"/>
    <n v="19.93"/>
    <s v="OK"/>
  </r>
  <r>
    <x v="69"/>
    <x v="2"/>
    <x v="0"/>
    <s v="17-14701-61014"/>
    <s v="Tagliasiepe a batteria - KD5092"/>
    <n v="1"/>
    <n v="59.99"/>
    <n v="0"/>
    <n v="59.99"/>
    <n v="5.39"/>
    <n v="26.82"/>
    <n v="5.87"/>
    <x v="0"/>
    <m/>
    <n v="38.08"/>
    <n v="21.910000000000004"/>
    <s v="OK"/>
  </r>
  <r>
    <x v="69"/>
    <x v="2"/>
    <x v="0"/>
    <s v="22-14693-77962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69"/>
    <x v="1"/>
    <x v="0"/>
    <s v="PO-098-13361359854712697"/>
    <s v="Kit messa in fase motori diesel - KD12526"/>
    <n v="2"/>
    <n v="34.72"/>
    <n v="0"/>
    <n v="34.72"/>
    <n v="0"/>
    <n v="12.36"/>
    <n v="4.7699999999999996"/>
    <x v="3"/>
    <m/>
    <n v="17.13"/>
    <n v="17.59"/>
    <s v="OK"/>
  </r>
  <r>
    <x v="69"/>
    <x v="1"/>
    <x v="0"/>
    <s v="PO-098-13181334503033960"/>
    <s v="Motore A Scoppio 210cc - KD1825"/>
    <n v="1"/>
    <n v="85.81"/>
    <n v="0"/>
    <n v="85.81"/>
    <n v="0"/>
    <n v="42.629999999999995"/>
    <n v="8.4"/>
    <x v="3"/>
    <m/>
    <n v="51.029999999999994"/>
    <n v="34.780000000000008"/>
    <s v="OK"/>
  </r>
  <r>
    <x v="69"/>
    <x v="0"/>
    <x v="0"/>
    <s v="171-6539828-3269152"/>
    <s v="Irroratore a pressione - KD2033"/>
    <n v="1"/>
    <n v="18.989999999999998"/>
    <n v="0"/>
    <n v="18.989999999999998"/>
    <n v="3.57"/>
    <n v="6.41"/>
    <n v="4.7699999999999996"/>
    <x v="3"/>
    <m/>
    <n v="14.75"/>
    <n v="4.2399999999999984"/>
    <s v="OK"/>
  </r>
  <r>
    <x v="69"/>
    <x v="0"/>
    <x v="0"/>
    <s v="405-3602880-5769933"/>
    <s v="Idealux_8021696286747"/>
    <n v="3"/>
    <n v="168"/>
    <n v="0"/>
    <n v="168"/>
    <n v="31.68"/>
    <n v="99.405599999999993"/>
    <n v="4.8499999999999996"/>
    <x v="0"/>
    <m/>
    <n v="135.93559999999999"/>
    <n v="32.064400000000006"/>
    <s v="OK"/>
  </r>
  <r>
    <x v="69"/>
    <x v="0"/>
    <x v="0"/>
    <s v="407-0298280-0608317"/>
    <s v="Tagliabordi con ruote - KD5129"/>
    <n v="1"/>
    <n v="47.99"/>
    <n v="0"/>
    <n v="47.99"/>
    <n v="9.06"/>
    <n v="20.85"/>
    <n v="5.87"/>
    <x v="0"/>
    <m/>
    <n v="35.78"/>
    <n v="12.21"/>
    <s v="OK"/>
  </r>
  <r>
    <x v="69"/>
    <x v="0"/>
    <x v="0"/>
    <s v="408-8384786-2005920"/>
    <s v="Idealux_8021696096704"/>
    <n v="1"/>
    <n v="26"/>
    <n v="0"/>
    <n v="26"/>
    <n v="4.91"/>
    <n v="15.384199999999998"/>
    <n v="4.7699999999999996"/>
    <x v="0"/>
    <m/>
    <n v="25.064199999999996"/>
    <n v="0.93580000000000396"/>
    <s v="OK"/>
  </r>
  <r>
    <x v="69"/>
    <x v="0"/>
    <x v="0"/>
    <s v="402-6017923-8637940"/>
    <s v="Idealux_8021696138633"/>
    <n v="1"/>
    <n v="30"/>
    <n v="0"/>
    <n v="30"/>
    <n v="5.66"/>
    <n v="17.751000000000001"/>
    <n v="4.7699999999999996"/>
    <x v="0"/>
    <m/>
    <n v="28.181000000000001"/>
    <n v="1.8189999999999991"/>
    <s v="OK"/>
  </r>
  <r>
    <x v="69"/>
    <x v="0"/>
    <x v="0"/>
    <s v=" 403-0873749-5818753"/>
    <s v="Magazzino_05"/>
    <n v="1"/>
    <n v="14.9"/>
    <n v="0"/>
    <n v="14.9"/>
    <n v="1.49"/>
    <n v="6"/>
    <n v="4.7699999999999996"/>
    <x v="3"/>
    <m/>
    <n v="12.26"/>
    <n v="2.6400000000000006"/>
    <s v="OK"/>
  </r>
  <r>
    <x v="69"/>
    <x v="0"/>
    <x v="0"/>
    <s v="403-2806707-0485154"/>
    <s v="Miscelatore Per Malta - KD541"/>
    <n v="1"/>
    <n v="51.99"/>
    <n v="0"/>
    <n v="51.99"/>
    <n v="8.48"/>
    <n v="20.970000000000002"/>
    <n v="4.8499999999999996"/>
    <x v="0"/>
    <m/>
    <n v="34.300000000000004"/>
    <n v="17.689999999999998"/>
    <s v="OK"/>
  </r>
  <r>
    <x v="69"/>
    <x v="0"/>
    <x v="0"/>
    <s v="405-2429374-0796310"/>
    <s v="Miscelatore Per Malta - KD541"/>
    <n v="1"/>
    <n v="51.99"/>
    <n v="0"/>
    <n v="51.99"/>
    <n v="8.48"/>
    <n v="20.970000000000002"/>
    <n v="4.8499999999999996"/>
    <x v="0"/>
    <m/>
    <n v="34.300000000000004"/>
    <n v="17.689999999999998"/>
    <s v="OK"/>
  </r>
  <r>
    <x v="70"/>
    <x v="0"/>
    <x v="0"/>
    <s v="403-2568222-2131557"/>
    <s v="Estrattore giunti - KD10149"/>
    <n v="1"/>
    <n v="21.99"/>
    <n v="0"/>
    <n v="21.99"/>
    <n v="4.1399999999999997"/>
    <n v="8.24"/>
    <n v="4.8499999999999996"/>
    <x v="0"/>
    <m/>
    <n v="17.229999999999997"/>
    <n v="4.7600000000000016"/>
    <s v="OK"/>
  </r>
  <r>
    <x v="70"/>
    <x v="1"/>
    <x v="0"/>
    <s v="PO-098-08099076498550268"/>
    <s v="Fresa a tazza - KD12640"/>
    <n v="1"/>
    <n v="34.659999999999997"/>
    <n v="0"/>
    <n v="34.659999999999997"/>
    <n v="0"/>
    <n v="14.47"/>
    <n v="7.1"/>
    <x v="3"/>
    <m/>
    <n v="21.57"/>
    <n v="13.089999999999996"/>
    <s v="OK"/>
  </r>
  <r>
    <x v="70"/>
    <x v="1"/>
    <x v="0"/>
    <s v="PO-098-08125386458230177"/>
    <s v="Fresa a tazza - KD12640"/>
    <n v="1"/>
    <n v="34.659999999999997"/>
    <n v="0"/>
    <n v="34.659999999999997"/>
    <n v="4.1399999999999997"/>
    <n v="14.47"/>
    <n v="7.1"/>
    <x v="3"/>
    <m/>
    <n v="25.71"/>
    <n v="8.9499999999999957"/>
    <s v="OK"/>
  </r>
  <r>
    <x v="70"/>
    <x v="1"/>
    <x v="0"/>
    <s v="PO-098-08151989208950083"/>
    <s v="Fresa a tazza - KD12640"/>
    <n v="1"/>
    <n v="34.659999999999997"/>
    <n v="0"/>
    <n v="34.659999999999997"/>
    <n v="0"/>
    <n v="14.47"/>
    <n v="7.1"/>
    <x v="3"/>
    <m/>
    <n v="21.57"/>
    <n v="13.089999999999996"/>
    <s v="OK"/>
  </r>
  <r>
    <x v="70"/>
    <x v="1"/>
    <x v="0"/>
    <s v="PO-098-08177825784951017"/>
    <s v="Cavalletto moto - KD342"/>
    <n v="1"/>
    <n v="28.19"/>
    <n v="0"/>
    <n v="28.19"/>
    <n v="0"/>
    <n v="15.31"/>
    <n v="5.87"/>
    <x v="3"/>
    <m/>
    <n v="21.18"/>
    <n v="7.0100000000000016"/>
    <s v="OK"/>
  </r>
  <r>
    <x v="70"/>
    <x v="2"/>
    <x v="0"/>
    <s v="21-14699-15807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70"/>
    <x v="2"/>
    <x v="0"/>
    <s v="16-14707-84980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70"/>
    <x v="2"/>
    <x v="0"/>
    <s v="01-14734-26509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70"/>
    <x v="2"/>
    <x v="0"/>
    <s v="03-14730-26956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70"/>
    <x v="2"/>
    <x v="0"/>
    <s v="21-14701-38982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70"/>
    <x v="0"/>
    <x v="0"/>
    <s v="404-9833456-9450741"/>
    <s v=" Idealux_8021696250427"/>
    <n v="5"/>
    <n v="250"/>
    <n v="0"/>
    <n v="250"/>
    <n v="47.12"/>
    <n v="147.92500000000001"/>
    <n v="4.8499999999999996"/>
    <x v="3"/>
    <m/>
    <n v="199.89500000000001"/>
    <n v="50.10499999999999"/>
    <s v="OK"/>
  </r>
  <r>
    <x v="70"/>
    <x v="0"/>
    <x v="0"/>
    <s v="171-4534683-1253930"/>
    <s v="Idealux_8021696307091"/>
    <n v="1"/>
    <n v="21"/>
    <n v="0"/>
    <n v="21"/>
    <n v="3.94"/>
    <n v="12.419599999999999"/>
    <n v="0"/>
    <x v="0"/>
    <m/>
    <n v="16.3596"/>
    <n v="4.6403999999999996"/>
    <s v="OK"/>
  </r>
  <r>
    <x v="70"/>
    <x v="1"/>
    <x v="0"/>
    <s v="PO-098-08151989208950083"/>
    <s v="Fresa a tazza - KD12640"/>
    <n v="1"/>
    <n v="34.659999999999997"/>
    <n v="0"/>
    <n v="34.659999999999997"/>
    <n v="0"/>
    <n v="14.47"/>
    <n v="7.1"/>
    <x v="3"/>
    <m/>
    <n v="21.57"/>
    <n v="13.089999999999996"/>
    <s v="OK"/>
  </r>
  <r>
    <x v="70"/>
    <x v="1"/>
    <x v="0"/>
    <s v="PO-098-08125386458230177"/>
    <s v="Fresa a tazza - KD12640"/>
    <n v="1"/>
    <n v="34.659999999999997"/>
    <n v="0"/>
    <n v="34.659999999999997"/>
    <n v="0"/>
    <n v="14.47"/>
    <n v="7.1"/>
    <x v="3"/>
    <m/>
    <n v="21.57"/>
    <n v="13.089999999999996"/>
    <s v="OK"/>
  </r>
  <r>
    <x v="70"/>
    <x v="0"/>
    <x v="0"/>
    <s v="404-9833456-9450741"/>
    <s v="Idealux_8021696250427"/>
    <n v="5"/>
    <n v="250"/>
    <n v="0"/>
    <n v="250"/>
    <n v="47.12"/>
    <n v="147.92500000000001"/>
    <n v="4.8499999999999996"/>
    <x v="0"/>
    <m/>
    <n v="199.89500000000001"/>
    <n v="50.10499999999999"/>
    <s v="OK"/>
  </r>
  <r>
    <x v="70"/>
    <x v="1"/>
    <x v="0"/>
    <s v="PO-098-08099076498550268"/>
    <s v="Fresa a tazza - KD12640"/>
    <n v="1"/>
    <n v="34.659999999999997"/>
    <n v="0"/>
    <n v="34.659999999999997"/>
    <n v="0"/>
    <n v="14.47"/>
    <n v="7.1"/>
    <x v="3"/>
    <m/>
    <n v="21.57"/>
    <n v="13.089999999999996"/>
    <s v="OK"/>
  </r>
  <r>
    <x v="71"/>
    <x v="1"/>
    <x v="0"/>
    <s v="PO-098-19022973440631911"/>
    <s v="Cavalletto moto - KD342"/>
    <n v="1"/>
    <n v="28.19"/>
    <n v="0"/>
    <n v="28.19"/>
    <n v="0"/>
    <n v="15.05"/>
    <n v="5.87"/>
    <x v="3"/>
    <m/>
    <n v="20.92"/>
    <n v="7.27"/>
    <s v="OK"/>
  </r>
  <r>
    <x v="71"/>
    <x v="1"/>
    <x v="0"/>
    <s v="PO-098-19165672817270930"/>
    <s v="Kit messa in fase motori diesel - KD12526"/>
    <n v="1"/>
    <n v="19.559999999999999"/>
    <n v="0"/>
    <n v="19.559999999999999"/>
    <n v="0"/>
    <n v="6.18"/>
    <n v="4.7699999999999996"/>
    <x v="3"/>
    <m/>
    <n v="10.95"/>
    <n v="8.61"/>
    <s v="OK"/>
  </r>
  <r>
    <x v="71"/>
    <x v="2"/>
    <x v="0"/>
    <s v="26-14695-68713"/>
    <s v="Estrattore giunti - KD10149"/>
    <n v="1"/>
    <n v="20.66"/>
    <n v="0"/>
    <n v="20.66"/>
    <n v="3.31"/>
    <n v="8.24"/>
    <n v="4.8499999999999996"/>
    <x v="0"/>
    <m/>
    <n v="16.399999999999999"/>
    <n v="4.2600000000000016"/>
    <s v="OK"/>
  </r>
  <r>
    <x v="71"/>
    <x v="2"/>
    <x v="0"/>
    <s v="01-14737-43876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71"/>
    <x v="2"/>
    <x v="0"/>
    <s v="18-14710-05032"/>
    <s v="Fresa a tazza - KD12640"/>
    <n v="1"/>
    <n v="35"/>
    <n v="0"/>
    <n v="35"/>
    <n v="5.39"/>
    <n v="14.47"/>
    <n v="7.1"/>
    <x v="0"/>
    <m/>
    <n v="26.96"/>
    <n v="8.0399999999999991"/>
    <s v="OK"/>
  </r>
  <r>
    <x v="71"/>
    <x v="0"/>
    <x v="0"/>
    <s v="402-3941607-0402720"/>
    <s v="Idealux_8021696260334"/>
    <n v="2"/>
    <n v="64"/>
    <n v="0"/>
    <n v="64"/>
    <n v="12.06"/>
    <n v="37.8688"/>
    <n v="4.7699999999999996"/>
    <x v="3"/>
    <m/>
    <n v="54.698800000000006"/>
    <n v="9.3011999999999944"/>
    <s v="OK"/>
  </r>
  <r>
    <x v="71"/>
    <x v="0"/>
    <x v="0"/>
    <s v="406-4401427-0572369"/>
    <s v="Microonde 30L - KD4111"/>
    <n v="1"/>
    <n v="89.99"/>
    <n v="0"/>
    <n v="89.99"/>
    <n v="16.97"/>
    <n v="38.61"/>
    <n v="8.07"/>
    <x v="3"/>
    <m/>
    <n v="63.65"/>
    <n v="26.339999999999996"/>
    <s v="OK"/>
  </r>
  <r>
    <x v="71"/>
    <x v="0"/>
    <x v="0"/>
    <s v="403-2985005-9589953"/>
    <s v="Idealux_8021696119502"/>
    <n v="1"/>
    <n v="60"/>
    <n v="0"/>
    <n v="60"/>
    <n v="11.3"/>
    <n v="35.502000000000002"/>
    <n v="4.7699999999999996"/>
    <x v="3"/>
    <m/>
    <n v="51.572000000000003"/>
    <n v="8.4279999999999973"/>
    <s v="OK"/>
  </r>
  <r>
    <x v="71"/>
    <x v="2"/>
    <x v="0"/>
    <s v="12-14719-94869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71"/>
    <x v="2"/>
    <x v="0"/>
    <s v="17-14712-29500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72"/>
    <x v="2"/>
    <x v="0"/>
    <s v="19-14711-58344"/>
    <s v="Estrattore giunti - KD10149"/>
    <n v="1"/>
    <n v="20.66"/>
    <n v="0"/>
    <n v="20.66"/>
    <n v="3.31"/>
    <n v="8.24"/>
    <n v="4.8499999999999996"/>
    <x v="0"/>
    <m/>
    <n v="16.399999999999999"/>
    <n v="4.2600000000000016"/>
    <s v="OK"/>
  </r>
  <r>
    <x v="72"/>
    <x v="2"/>
    <x v="0"/>
    <s v="07-14731-62658"/>
    <s v="Fresa a tazza - KD12640"/>
    <n v="1"/>
    <n v="33.25"/>
    <n v="0"/>
    <n v="33.25"/>
    <n v="4.8"/>
    <n v="14.47"/>
    <n v="7.1"/>
    <x v="0"/>
    <m/>
    <n v="26.369999999999997"/>
    <n v="6.8800000000000026"/>
    <s v="OK"/>
  </r>
  <r>
    <x v="72"/>
    <x v="1"/>
    <x v="0"/>
    <s v="PO-098-03387201523833395"/>
    <s v="Motozappa 52cc - KD5162"/>
    <n v="1"/>
    <n v="117.32"/>
    <n v="0"/>
    <n v="117.32"/>
    <n v="0"/>
    <n v="64.8"/>
    <n v="10.247999999999999"/>
    <x v="3"/>
    <m/>
    <n v="75.048000000000002"/>
    <n v="42.271999999999991"/>
    <s v="OK"/>
  </r>
  <r>
    <x v="73"/>
    <x v="1"/>
    <x v="0"/>
    <s v="PO-098-13907218463350083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3"/>
    <x v="1"/>
    <x v="0"/>
    <s v="PO-098-14288382805113891"/>
    <s v="Cavalletto moto - KD342"/>
    <n v="1"/>
    <n v="28.19"/>
    <n v="0"/>
    <n v="28.19"/>
    <n v="0"/>
    <n v="15.05"/>
    <n v="5.87"/>
    <x v="3"/>
    <m/>
    <n v="20.92"/>
    <n v="7.27"/>
    <s v="OK"/>
  </r>
  <r>
    <x v="73"/>
    <x v="1"/>
    <x v="0"/>
    <s v="PO-098-14243126677112049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3"/>
    <x v="0"/>
    <x v="0"/>
    <s v="403-6272313-0972312"/>
    <s v="DFL_8048584"/>
    <n v="2"/>
    <n v="151.26"/>
    <n v="0"/>
    <n v="151.26"/>
    <n v="28.5"/>
    <n v="92.72"/>
    <n v="6.75"/>
    <x v="3"/>
    <m/>
    <n v="127.97"/>
    <n v="23.289999999999992"/>
    <s v="OK"/>
  </r>
  <r>
    <x v="73"/>
    <x v="1"/>
    <x v="0"/>
    <s v="PO-098-13996351478391662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3"/>
    <x v="1"/>
    <x v="0"/>
    <s v="PO-098-14358252045433539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3"/>
    <x v="1"/>
    <x v="0"/>
    <s v="PO-098-14280944394873871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4"/>
    <x v="3"/>
    <x v="0"/>
    <s v="005-26157L1832-C"/>
    <s v="DFL_308440"/>
    <n v="2"/>
    <n v="18.760000000000002"/>
    <n v="0"/>
    <n v="18.760000000000002"/>
    <n v="2.81"/>
    <n v="4.5384000000000002"/>
    <n v="4.3600000000000003"/>
    <x v="3"/>
    <m/>
    <n v="11.708400000000001"/>
    <n v="7.0516000000000005"/>
    <s v="OK"/>
  </r>
  <r>
    <x v="74"/>
    <x v="1"/>
    <x v="0"/>
    <s v="PO-098-08810627625593773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4"/>
    <x v="1"/>
    <x v="0"/>
    <s v="PO-098-08418446055031951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4"/>
    <x v="0"/>
    <x v="0"/>
    <s v="408-2892727-0703553"/>
    <s v="Magazzino_05"/>
    <n v="1"/>
    <n v="14.9"/>
    <n v="0"/>
    <n v="14.9"/>
    <n v="1.51"/>
    <n v="6"/>
    <n v="4.7699999999999996"/>
    <x v="3"/>
    <m/>
    <n v="12.28"/>
    <n v="2.620000000000001"/>
    <s v="OK"/>
  </r>
  <r>
    <x v="74"/>
    <x v="0"/>
    <x v="0"/>
    <s v="407-7250160-9628327"/>
    <s v="Estrattore giunti - KD10149"/>
    <n v="1"/>
    <n v="21.99"/>
    <n v="0"/>
    <n v="21.99"/>
    <n v="4.16"/>
    <n v="8.24"/>
    <n v="4.8499999999999996"/>
    <x v="3"/>
    <m/>
    <n v="17.25"/>
    <n v="4.7399999999999984"/>
    <s v="OK"/>
  </r>
  <r>
    <x v="74"/>
    <x v="1"/>
    <x v="0"/>
    <s v="PO-098-08522388987511523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4"/>
    <x v="1"/>
    <x v="0"/>
    <s v="PO-098-08565676759671265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4"/>
    <x v="1"/>
    <x v="0"/>
    <s v="PO-098-08276806651510811"/>
    <s v="DFL_6129342"/>
    <n v="1"/>
    <n v="12.07"/>
    <n v="0"/>
    <n v="12.07"/>
    <n v="0"/>
    <n v="5.8559999999999999"/>
    <n v="4.3600000000000003"/>
    <x v="3"/>
    <m/>
    <n v="10.216000000000001"/>
    <n v="1.8539999999999992"/>
    <s v="OK"/>
  </r>
  <r>
    <x v="74"/>
    <x v="1"/>
    <x v="0"/>
    <s v="PO-098-08411456512630070"/>
    <s v="Estrattore giunti - KD10149"/>
    <n v="1"/>
    <n v="18.52"/>
    <n v="0"/>
    <n v="18.52"/>
    <n v="0"/>
    <n v="8.24"/>
    <n v="4.8499999999999996"/>
    <x v="3"/>
    <m/>
    <n v="13.09"/>
    <n v="5.43"/>
    <s v="OK"/>
  </r>
  <r>
    <x v="75"/>
    <x v="0"/>
    <x v="0"/>
    <s v="405-4900974-1085169"/>
    <s v="Idealux_8021696285702"/>
    <n v="1"/>
    <n v="60"/>
    <n v="0"/>
    <n v="60"/>
    <n v="11.31"/>
    <n v="35.502000000000002"/>
    <n v="4.7699999999999996"/>
    <x v="3"/>
    <m/>
    <n v="51.582000000000008"/>
    <n v="8.4179999999999922"/>
    <s v="OK"/>
  </r>
  <r>
    <x v="75"/>
    <x v="0"/>
    <x v="0"/>
    <s v="403-4167926-3021934"/>
    <s v="Estrattore giunti - KD10149"/>
    <n v="1"/>
    <n v="21.99"/>
    <n v="0"/>
    <n v="21.99"/>
    <n v="4.16"/>
    <n v="8.24"/>
    <n v="4.8499999999999996"/>
    <x v="3"/>
    <m/>
    <n v="17.25"/>
    <n v="4.7399999999999984"/>
    <s v="OK"/>
  </r>
  <r>
    <x v="76"/>
    <x v="1"/>
    <x v="0"/>
    <s v="PO-098-00435097334392495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6"/>
    <x v="1"/>
    <x v="0"/>
    <s v="PO-098-00426209321592674"/>
    <s v="Motozappa 52cc - KD5162"/>
    <n v="1"/>
    <n v="117.64"/>
    <n v="0"/>
    <n v="117.64"/>
    <n v="0"/>
    <n v="64.8"/>
    <n v="10.247999999999999"/>
    <x v="3"/>
    <m/>
    <n v="75.048000000000002"/>
    <n v="42.591999999999999"/>
    <s v="OK"/>
  </r>
  <r>
    <x v="76"/>
    <x v="0"/>
    <x v="0"/>
    <s v="404-4907604-7710724"/>
    <s v="Idealux_8021696096728"/>
    <n v="1"/>
    <n v="26"/>
    <n v="0"/>
    <n v="26"/>
    <n v="4.91"/>
    <n v="15.385"/>
    <n v="4.7699999999999996"/>
    <x v="3"/>
    <m/>
    <n v="25.065000000000001"/>
    <n v="0.93499999999999872"/>
    <s v="OK"/>
  </r>
  <r>
    <x v="76"/>
    <x v="0"/>
    <x v="0"/>
    <s v="405-1859700-7934702"/>
    <s v="DFL_313174"/>
    <n v="1"/>
    <n v="25.03"/>
    <n v="0"/>
    <n v="25.03"/>
    <n v="4.72"/>
    <n v="11.211799999999998"/>
    <n v="4.3600000000000003"/>
    <x v="3"/>
    <m/>
    <n v="20.291799999999999"/>
    <n v="4.7382000000000026"/>
    <s v="OK"/>
  </r>
  <r>
    <x v="76"/>
    <x v="0"/>
    <x v="0"/>
    <s v="407-6888948-9499525"/>
    <s v="DFL_8048584"/>
    <n v="1"/>
    <n v="75.63"/>
    <n v="0"/>
    <n v="75.63"/>
    <n v="14.24"/>
    <n v="46.36"/>
    <n v="4.8499999999999996"/>
    <x v="3"/>
    <m/>
    <n v="65.45"/>
    <n v="10.179999999999993"/>
    <s v="OK"/>
  </r>
  <r>
    <x v="76"/>
    <x v="0"/>
    <x v="0"/>
    <s v="402-3440877-0952318"/>
    <s v="Idealux_8021696307077"/>
    <n v="1"/>
    <n v="19.5"/>
    <n v="0"/>
    <n v="19.5"/>
    <n v="1.96"/>
    <n v="8.5766000000000009"/>
    <n v="4.7699999999999996"/>
    <x v="3"/>
    <m/>
    <n v="15.3066"/>
    <n v="4.1934000000000005"/>
    <s v="OK"/>
  </r>
  <r>
    <x v="77"/>
    <x v="2"/>
    <x v="0"/>
    <s v="19-14733-83414"/>
    <s v="Miscelatore Per Malta - KD541"/>
    <n v="1"/>
    <n v="43.73"/>
    <n v="0"/>
    <n v="43.73"/>
    <n v="4.21"/>
    <n v="20.970000000000002"/>
    <n v="4.8499999999999996"/>
    <x v="0"/>
    <m/>
    <n v="30.03"/>
    <n v="13.699999999999996"/>
    <s v="OK"/>
  </r>
  <r>
    <x v="77"/>
    <x v="2"/>
    <x v="0"/>
    <s v="03-14763-55525"/>
    <s v="Estrattore giunti - KD10149"/>
    <n v="1"/>
    <n v="20.66"/>
    <n v="0"/>
    <n v="20.66"/>
    <n v="3.31"/>
    <n v="8.24"/>
    <n v="4.8499999999999996"/>
    <x v="0"/>
    <m/>
    <n v="16.399999999999999"/>
    <n v="4.2600000000000016"/>
    <s v="OK"/>
  </r>
  <r>
    <x v="77"/>
    <x v="0"/>
    <x v="0"/>
    <s v="404-8375965-9058766"/>
    <s v="DFL_612838"/>
    <n v="1"/>
    <n v="13.51"/>
    <n v="0"/>
    <n v="13.51"/>
    <n v="2.54"/>
    <n v="2.4500000000000002"/>
    <n v="4.3600000000000003"/>
    <x v="3"/>
    <m/>
    <n v="9.3500000000000014"/>
    <n v="4.1599999999999984"/>
    <s v="OK"/>
  </r>
  <r>
    <x v="77"/>
    <x v="1"/>
    <x v="0"/>
    <s v="PO-098-11261502848631453"/>
    <s v="Kit messa in fase motori diesel - KD12526"/>
    <n v="1"/>
    <n v="20.350000000000001"/>
    <n v="0"/>
    <n v="20.350000000000001"/>
    <n v="0"/>
    <n v="6.18"/>
    <n v="4.7699999999999996"/>
    <x v="3"/>
    <m/>
    <n v="10.95"/>
    <n v="9.4000000000000021"/>
    <s v="OK"/>
  </r>
  <r>
    <x v="77"/>
    <x v="0"/>
    <x v="0"/>
    <s v="402-4302494-3693953"/>
    <s v="Tagliabordi con ruote - KD5129"/>
    <n v="1"/>
    <n v="39.99"/>
    <n v="0"/>
    <n v="39.99"/>
    <n v="7.53"/>
    <n v="20.85"/>
    <n v="5.87"/>
    <x v="3"/>
    <m/>
    <n v="34.25"/>
    <n v="5.740000000000002"/>
    <s v="OK"/>
  </r>
  <r>
    <x v="77"/>
    <x v="0"/>
    <x v="0"/>
    <s v="402-1957124-4842732"/>
    <s v="Tagliabordi con ruote - KD5129"/>
    <n v="1"/>
    <n v="39.99"/>
    <n v="0"/>
    <n v="39.99"/>
    <n v="7.53"/>
    <n v="20.85"/>
    <n v="5.87"/>
    <x v="3"/>
    <m/>
    <n v="34.25"/>
    <n v="5.740000000000002"/>
    <s v="OK"/>
  </r>
  <r>
    <x v="77"/>
    <x v="1"/>
    <x v="0"/>
    <s v="PO-098-11282781077111324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7"/>
    <x v="1"/>
    <x v="0"/>
    <s v="PO-098-11256762691191417"/>
    <s v="Motozappa 52cc - KD5162"/>
    <n v="1"/>
    <n v="123.18"/>
    <n v="0"/>
    <n v="123.18"/>
    <n v="0"/>
    <n v="64.8"/>
    <n v="10.247999999999999"/>
    <x v="3"/>
    <m/>
    <n v="75.048000000000002"/>
    <n v="48.132000000000005"/>
    <s v="OK"/>
  </r>
  <r>
    <x v="78"/>
    <x v="2"/>
    <x v="0"/>
    <s v="19-14739-52762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78"/>
    <x v="2"/>
    <x v="0"/>
    <s v="03-14763-69718"/>
    <s v="Tagliasiepe a batteria - KD5092"/>
    <n v="1"/>
    <n v="56.99"/>
    <n v="0"/>
    <n v="56.99"/>
    <n v="5.39"/>
    <n v="26.82"/>
    <n v="5.87"/>
    <x v="0"/>
    <m/>
    <n v="38.08"/>
    <n v="18.910000000000004"/>
    <s v="OK"/>
  </r>
  <r>
    <x v="78"/>
    <x v="2"/>
    <x v="0"/>
    <s v="08-14756-33830"/>
    <s v="Tagliabordi con ruote - KD5129"/>
    <n v="1"/>
    <n v="43.7"/>
    <n v="0"/>
    <n v="43.7"/>
    <n v="4.21"/>
    <n v="20.85"/>
    <n v="5.87"/>
    <x v="0"/>
    <m/>
    <n v="30.930000000000003"/>
    <n v="12.77"/>
    <s v="OK"/>
  </r>
  <r>
    <x v="78"/>
    <x v="0"/>
    <x v="0"/>
    <s v="406-4316911-5465125"/>
    <s v="Motosega a Scoppio 58cc - KD10613"/>
    <n v="1"/>
    <n v="87.99"/>
    <n v="0"/>
    <n v="87.99"/>
    <n v="14.38"/>
    <n v="39.76"/>
    <n v="8.01"/>
    <x v="3"/>
    <m/>
    <n v="62.15"/>
    <n v="25.839999999999996"/>
    <s v="OK"/>
  </r>
  <r>
    <x v="78"/>
    <x v="1"/>
    <x v="0"/>
    <s v="PO-098-05862765957752846"/>
    <s v="Motozappa 52cc - KD5162"/>
    <n v="1"/>
    <n v="119.93"/>
    <n v="0"/>
    <n v="119.93"/>
    <n v="0"/>
    <n v="64.8"/>
    <n v="10.247999999999999"/>
    <x v="3"/>
    <m/>
    <n v="75.048000000000002"/>
    <n v="44.882000000000005"/>
    <s v="OK"/>
  </r>
  <r>
    <x v="78"/>
    <x v="1"/>
    <x v="0"/>
    <s v="PO-098-06032040190074079"/>
    <s v="Estrattore giunti - KD10149"/>
    <n v="1"/>
    <n v="13.08"/>
    <n v="0"/>
    <n v="13.08"/>
    <n v="0"/>
    <n v="8.24"/>
    <n v="4.8499999999999996"/>
    <x v="3"/>
    <m/>
    <n v="13.09"/>
    <n v="-9.9999999999997868E-3"/>
    <s v="DA EVITARE"/>
  </r>
  <r>
    <x v="78"/>
    <x v="0"/>
    <x v="0"/>
    <s v="408-1897391-8505961"/>
    <s v="Tagliabordi con ruote - KD5129"/>
    <n v="1"/>
    <n v="39.99"/>
    <n v="0"/>
    <n v="39.99"/>
    <n v="7.54"/>
    <n v="20.85"/>
    <n v="5.87"/>
    <x v="3"/>
    <m/>
    <n v="34.26"/>
    <n v="5.730000000000004"/>
    <s v="OK"/>
  </r>
  <r>
    <x v="78"/>
    <x v="0"/>
    <x v="0"/>
    <s v="403-3099538-9991537"/>
    <s v="DFL_8048584"/>
    <n v="1"/>
    <n v="75.63"/>
    <n v="0"/>
    <n v="75.63"/>
    <n v="14.26"/>
    <n v="46.36"/>
    <n v="4.8499999999999996"/>
    <x v="3"/>
    <m/>
    <n v="65.47"/>
    <n v="10.159999999999997"/>
    <s v="OK"/>
  </r>
  <r>
    <x v="78"/>
    <x v="0"/>
    <x v="0"/>
    <s v="407-3002107-3519524"/>
    <s v="Motosega a Scoppio 58cc - KD10613"/>
    <n v="1"/>
    <n v="87.99"/>
    <n v="0"/>
    <n v="87.99"/>
    <n v="14.38"/>
    <n v="39.76"/>
    <n v="8.01"/>
    <x v="0"/>
    <m/>
    <n v="62.15"/>
    <n v="25.839999999999996"/>
    <s v="OK"/>
  </r>
  <r>
    <x v="78"/>
    <x v="1"/>
    <x v="0"/>
    <s v="PO-098-05846782807673007"/>
    <s v="Estrattore giunti - KD10149"/>
    <n v="1"/>
    <n v="13.08"/>
    <n v="0"/>
    <n v="13.08"/>
    <n v="0"/>
    <n v="8.24"/>
    <n v="4.8499999999999996"/>
    <x v="3"/>
    <m/>
    <n v="13.09"/>
    <n v="-9.9999999999997868E-3"/>
    <s v="DA EVITARE"/>
  </r>
  <r>
    <x v="78"/>
    <x v="1"/>
    <x v="0"/>
    <s v="PO-098-11016244621430995"/>
    <s v="Magazzino_05"/>
    <n v="1"/>
    <n v="12.98"/>
    <n v="0"/>
    <n v="12.98"/>
    <n v="0"/>
    <n v="6"/>
    <n v="4.7699999999999996"/>
    <x v="3"/>
    <m/>
    <n v="10.77"/>
    <n v="2.2100000000000009"/>
    <s v="OK"/>
  </r>
  <r>
    <x v="78"/>
    <x v="3"/>
    <x v="0"/>
    <s v="005-26161L38156-A"/>
    <s v="DFL_3143092"/>
    <n v="2"/>
    <n v="31.9"/>
    <n v="0"/>
    <n v="31.9"/>
    <n v="3.83"/>
    <n v="11.3704"/>
    <n v="4.3600000000000003"/>
    <x v="3"/>
    <m/>
    <n v="19.560400000000001"/>
    <n v="12.339599999999997"/>
    <s v="OK"/>
  </r>
  <r>
    <x v="78"/>
    <x v="3"/>
    <x v="0"/>
    <s v="005-26161L40511-A"/>
    <s v="DFL_8091251"/>
    <n v="1"/>
    <n v="15.41"/>
    <n v="0"/>
    <n v="15.41"/>
    <n v="1.85"/>
    <n v="5.5388000000000002"/>
    <n v="4.3600000000000003"/>
    <x v="3"/>
    <m/>
    <n v="11.748799999999999"/>
    <n v="3.6612000000000009"/>
    <s v="OK"/>
  </r>
  <r>
    <x v="79"/>
    <x v="1"/>
    <x v="0"/>
    <s v="PO-098-16576298542710620"/>
    <s v="Irroratore a pressione - KD2033"/>
    <n v="1"/>
    <n v="15.6"/>
    <n v="0"/>
    <n v="15.6"/>
    <n v="0"/>
    <n v="6.41"/>
    <n v="4.7699999999999996"/>
    <x v="3"/>
    <m/>
    <n v="11.18"/>
    <n v="4.42"/>
    <s v="OK"/>
  </r>
  <r>
    <x v="79"/>
    <x v="1"/>
    <x v="0"/>
    <s v="PO-098-16911442115192654"/>
    <s v="DFL_6129346"/>
    <n v="1"/>
    <n v="16.11"/>
    <n v="0"/>
    <n v="16.11"/>
    <n v="0"/>
    <n v="10.918999999999999"/>
    <n v="4.3600000000000003"/>
    <x v="3"/>
    <m/>
    <n v="15.279"/>
    <n v="0.83099999999999952"/>
    <s v="OK"/>
  </r>
  <r>
    <x v="79"/>
    <x v="0"/>
    <x v="0"/>
    <s v="404-6739379-0782711"/>
    <s v="Motozappa 52cc - KD5162"/>
    <n v="1"/>
    <n v="149.99"/>
    <n v="0"/>
    <n v="149.99"/>
    <n v="28.27"/>
    <n v="64.8"/>
    <n v="10.247999999999999"/>
    <x v="3"/>
    <m/>
    <n v="103.318"/>
    <n v="46.672000000000011"/>
    <s v="OK"/>
  </r>
  <r>
    <x v="79"/>
    <x v="0"/>
    <x v="0"/>
    <s v="408-8045489-1685121"/>
    <s v="Tagliabordi con ruote - KD5129"/>
    <n v="1"/>
    <n v="39.99"/>
    <n v="0"/>
    <n v="39.99"/>
    <n v="7.53"/>
    <n v="20.85"/>
    <n v="5.87"/>
    <x v="3"/>
    <m/>
    <n v="34.25"/>
    <n v="5.740000000000002"/>
    <s v="OK"/>
  </r>
  <r>
    <x v="79"/>
    <x v="0"/>
    <x v="0"/>
    <s v="407-2744552-2061917"/>
    <s v="Tagliabordi con ruote - KD5129"/>
    <n v="1"/>
    <n v="39.99"/>
    <n v="0"/>
    <n v="39.99"/>
    <n v="7.53"/>
    <n v="20.85"/>
    <n v="5.87"/>
    <x v="3"/>
    <m/>
    <n v="34.25"/>
    <n v="5.740000000000002"/>
    <s v="OK"/>
  </r>
  <r>
    <x v="79"/>
    <x v="1"/>
    <x v="0"/>
    <s v="PO-098-16911442115192654"/>
    <s v="DFL_6129342"/>
    <n v="1"/>
    <n v="10.24"/>
    <n v="0"/>
    <n v="10.24"/>
    <n v="0"/>
    <n v="5.8559999999999999"/>
    <n v="4.3600000000000003"/>
    <x v="3"/>
    <m/>
    <n v="10.216000000000001"/>
    <n v="2.3999999999999133E-2"/>
    <s v="OK"/>
  </r>
  <r>
    <x v="80"/>
    <x v="0"/>
    <x v="0"/>
    <s v="171-2384567-8749947"/>
    <s v="Motozappa 52cc - KD5162"/>
    <n v="1"/>
    <n v="149.99"/>
    <n v="0"/>
    <n v="149.99"/>
    <n v="28.28"/>
    <n v="64.8"/>
    <n v="10.247999999999999"/>
    <x v="3"/>
    <m/>
    <n v="103.328"/>
    <n v="46.662000000000006"/>
    <s v="OK"/>
  </r>
  <r>
    <x v="80"/>
    <x v="0"/>
    <x v="0"/>
    <s v="403-3183420-5077932"/>
    <s v="Motozappa 52cc - KD5162"/>
    <n v="1"/>
    <n v="149.99"/>
    <n v="0"/>
    <n v="149.99"/>
    <n v="28.28"/>
    <n v="64.8"/>
    <n v="10.247999999999999"/>
    <x v="3"/>
    <m/>
    <n v="103.328"/>
    <n v="46.662000000000006"/>
    <s v="OK"/>
  </r>
  <r>
    <x v="80"/>
    <x v="3"/>
    <x v="0"/>
    <s v="005-26163L6941-A"/>
    <s v="DFL_6130011"/>
    <n v="1"/>
    <n v="18.57"/>
    <n v="0"/>
    <n v="18.57"/>
    <n v="2.23"/>
    <n v="7.8445999999999998"/>
    <n v="4.3600000000000003"/>
    <x v="3"/>
    <m/>
    <n v="14.4346"/>
    <n v="4.1354000000000006"/>
    <s v="OK"/>
  </r>
  <r>
    <x v="81"/>
    <x v="5"/>
    <x v="3"/>
    <m/>
    <m/>
    <m/>
    <m/>
    <m/>
    <m/>
    <m/>
    <m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54DC3-1EE0-4741-AC3D-B143D5A05BCF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10:D11" firstHeaderRow="0" firstDataRow="1" firstDataCol="0" rowPageCount="4" colPageCount="1"/>
  <pivotFields count="17">
    <pivotField axis="axisPage" numFmtId="14" multipleItemSelectionAllowed="1" showAll="0">
      <items count="83">
        <item x="41"/>
        <item x="42"/>
        <item x="4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0"/>
        <item x="38"/>
        <item x="39"/>
        <item x="4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81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5">
        <item sd="0" x="0"/>
        <item x="1"/>
        <item x="2"/>
        <item x="3"/>
        <item t="default"/>
      </items>
    </pivotField>
    <pivotField showAll="0"/>
    <pivotField showAll="0"/>
    <pivotField showAll="0"/>
    <pivotField dataField="1" numFmtId="2" showAll="0"/>
    <pivotField numFmtId="9" showAll="0"/>
    <pivotField numFmtId="2" showAll="0"/>
    <pivotField showAll="0"/>
    <pivotField numFmtId="2" showAll="0"/>
    <pivotField numFmtId="2" showAll="0"/>
    <pivotField axis="axisPage" multipleItemSelectionAllowed="1" showAll="0">
      <items count="7">
        <item h="1" x="0"/>
        <item x="3"/>
        <item h="1" x="4"/>
        <item h="1" x="1"/>
        <item h="1" x="2"/>
        <item h="1" x="5"/>
        <item t="default"/>
      </items>
    </pivotField>
    <pivotField showAll="0"/>
    <pivotField dataField="1" numFmtId="2" showAll="0"/>
    <pivotField dataField="1" numFmtId="2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4">
    <pageField fld="1" hier="-1"/>
    <pageField fld="2" hier="-1"/>
    <pageField fld="0" hier="-1"/>
    <pageField fld="12" hier="-1"/>
  </pageFields>
  <dataFields count="3">
    <dataField name="Fatturato  (Lordo)" fld="6" baseField="0" baseItem="1"/>
    <dataField name=" Costo totale" fld="14" baseField="0" baseItem="1"/>
    <dataField name=" Utile " fld="15" baseField="0" baseItem="2"/>
  </dataFields>
  <formats count="24">
    <format dxfId="23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dataOnly="0" labelOnly="1" outline="0" fieldPosition="0">
        <references count="1">
          <reference field="1" count="0"/>
        </references>
      </pivotArea>
    </format>
    <format dxfId="4">
      <pivotArea field="1" type="button" dataOnly="0" labelOnly="1" outline="0" axis="axisPage" fieldPosition="0"/>
    </format>
    <format dxfId="3">
      <pivotArea field="2" type="button" dataOnly="0" labelOnly="1" outline="0" axis="axisPage" fieldPosition="1"/>
    </format>
    <format dxfId="2">
      <pivotArea dataOnly="0" labelOnly="1" outline="0" fieldPosition="0">
        <references count="1">
          <reference field="2" count="0"/>
        </references>
      </pivotArea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field="0" type="button" dataOnly="0" labelOnly="1" outline="0" axis="axisPage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E2F6-8F0A-485E-90AF-012899567A30}">
  <dimension ref="A2:D17"/>
  <sheetViews>
    <sheetView showGridLines="0" zoomScaleNormal="100" workbookViewId="0">
      <selection activeCell="K18" sqref="K18"/>
    </sheetView>
  </sheetViews>
  <sheetFormatPr defaultRowHeight="15" x14ac:dyDescent="0.25"/>
  <cols>
    <col min="1" max="1" width="6.42578125" customWidth="1"/>
    <col min="2" max="2" width="16.5703125" bestFit="1" customWidth="1"/>
    <col min="3" max="3" width="15.7109375" bestFit="1" customWidth="1"/>
    <col min="4" max="4" width="13.42578125" bestFit="1" customWidth="1"/>
    <col min="5" max="5" width="15.42578125" customWidth="1"/>
  </cols>
  <sheetData>
    <row r="2" spans="1:4" ht="19.5" x14ac:dyDescent="0.3">
      <c r="B2" s="102"/>
      <c r="C2" s="102"/>
      <c r="D2" s="102"/>
    </row>
    <row r="3" spans="1:4" ht="19.5" x14ac:dyDescent="0.3">
      <c r="A3" s="45"/>
      <c r="B3" s="100" t="s">
        <v>40</v>
      </c>
      <c r="C3" s="100"/>
      <c r="D3" s="101"/>
    </row>
    <row r="4" spans="1:4" x14ac:dyDescent="0.25">
      <c r="A4" s="45"/>
      <c r="B4" s="2"/>
      <c r="C4" s="2"/>
      <c r="D4" s="44"/>
    </row>
    <row r="5" spans="1:4" x14ac:dyDescent="0.25">
      <c r="A5" s="2"/>
      <c r="B5" s="74" t="s">
        <v>1</v>
      </c>
      <c r="C5" s="73" t="s">
        <v>397</v>
      </c>
      <c r="D5" s="45"/>
    </row>
    <row r="6" spans="1:4" x14ac:dyDescent="0.25">
      <c r="A6" s="2"/>
      <c r="B6" s="75" t="s">
        <v>2</v>
      </c>
      <c r="C6" s="76" t="s">
        <v>397</v>
      </c>
      <c r="D6" s="45"/>
    </row>
    <row r="7" spans="1:4" x14ac:dyDescent="0.25">
      <c r="A7" s="2"/>
      <c r="B7" s="74" t="s">
        <v>0</v>
      </c>
      <c r="C7" s="73" t="s">
        <v>397</v>
      </c>
      <c r="D7" s="45"/>
    </row>
    <row r="8" spans="1:4" ht="15.75" thickBot="1" x14ac:dyDescent="0.3">
      <c r="A8" s="2"/>
      <c r="B8" s="68" t="s">
        <v>28</v>
      </c>
      <c r="C8" s="69" t="s">
        <v>34</v>
      </c>
      <c r="D8" s="45"/>
    </row>
    <row r="9" spans="1:4" x14ac:dyDescent="0.25">
      <c r="A9" s="45"/>
      <c r="B9" s="64"/>
      <c r="C9" s="44"/>
      <c r="D9" s="45"/>
    </row>
    <row r="10" spans="1:4" x14ac:dyDescent="0.25">
      <c r="A10" s="45"/>
      <c r="B10" s="65" t="s">
        <v>398</v>
      </c>
      <c r="C10" s="66" t="s">
        <v>399</v>
      </c>
      <c r="D10" s="66" t="s">
        <v>400</v>
      </c>
    </row>
    <row r="11" spans="1:4" ht="18.75" x14ac:dyDescent="0.25">
      <c r="A11" s="45"/>
      <c r="B11" s="70">
        <v>6370.430000000003</v>
      </c>
      <c r="C11" s="71">
        <v>4475.9756000000043</v>
      </c>
      <c r="D11" s="72">
        <v>1894.4544000000003</v>
      </c>
    </row>
    <row r="17" spans="2:2" x14ac:dyDescent="0.25">
      <c r="B17" s="2"/>
    </row>
  </sheetData>
  <mergeCells count="2">
    <mergeCell ref="B3:D3"/>
    <mergeCell ref="B2:D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R590"/>
  <sheetViews>
    <sheetView tabSelected="1" zoomScale="85" zoomScaleNormal="85" workbookViewId="0">
      <pane ySplit="1" topLeftCell="A536" activePane="bottomLeft" state="frozen"/>
      <selection pane="bottomLeft" activeCell="D542" sqref="D542"/>
    </sheetView>
  </sheetViews>
  <sheetFormatPr defaultColWidth="9.140625" defaultRowHeight="15" x14ac:dyDescent="0.25"/>
  <cols>
    <col min="1" max="1" width="13.85546875" style="54" customWidth="1"/>
    <col min="2" max="2" width="16.85546875" style="54" bestFit="1" customWidth="1"/>
    <col min="3" max="3" width="15.85546875" style="54" customWidth="1"/>
    <col min="4" max="4" width="28.140625" style="54" bestFit="1" customWidth="1"/>
    <col min="5" max="5" width="38" style="54" customWidth="1"/>
    <col min="6" max="6" width="22.85546875" style="54" customWidth="1"/>
    <col min="7" max="7" width="20.7109375" style="54" customWidth="1"/>
    <col min="8" max="8" width="9.140625" style="54" customWidth="1"/>
    <col min="9" max="10" width="14.28515625" style="54" customWidth="1"/>
    <col min="11" max="11" width="19" style="54" bestFit="1" customWidth="1"/>
    <col min="12" max="12" width="15.7109375" style="54" customWidth="1"/>
    <col min="13" max="13" width="19.140625" style="54" bestFit="1" customWidth="1"/>
    <col min="14" max="14" width="23.7109375" style="54" customWidth="1"/>
    <col min="15" max="15" width="12.140625" style="54" customWidth="1"/>
    <col min="16" max="16" width="15.140625" style="54" customWidth="1"/>
    <col min="17" max="18" width="13.42578125" style="54" customWidth="1"/>
    <col min="19" max="19" width="13.5703125" style="2" customWidth="1"/>
    <col min="20" max="16384" width="9.140625" style="2"/>
  </cols>
  <sheetData>
    <row r="1" spans="1:18" s="47" customFormat="1" ht="23.25" customHeight="1" x14ac:dyDescent="0.2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29</v>
      </c>
      <c r="G1" s="46" t="s">
        <v>10</v>
      </c>
      <c r="H1" s="46" t="s">
        <v>7</v>
      </c>
      <c r="I1" s="46" t="s">
        <v>80</v>
      </c>
      <c r="J1" s="46" t="s">
        <v>6</v>
      </c>
      <c r="K1" s="46" t="s">
        <v>5</v>
      </c>
      <c r="L1" s="46" t="s">
        <v>11</v>
      </c>
      <c r="M1" s="46" t="s">
        <v>28</v>
      </c>
      <c r="N1" s="46" t="s">
        <v>402</v>
      </c>
      <c r="O1" s="46" t="s">
        <v>8</v>
      </c>
      <c r="P1" s="46" t="s">
        <v>21</v>
      </c>
      <c r="Q1" s="46" t="s">
        <v>9</v>
      </c>
      <c r="R1" s="46" t="s">
        <v>19</v>
      </c>
    </row>
    <row r="2" spans="1:18" s="62" customFormat="1" x14ac:dyDescent="0.25">
      <c r="A2" s="48">
        <v>46113</v>
      </c>
      <c r="B2" s="49" t="s">
        <v>109</v>
      </c>
      <c r="C2" s="49" t="s">
        <v>20</v>
      </c>
      <c r="D2" s="49" t="s">
        <v>112</v>
      </c>
      <c r="E2" s="49" t="s">
        <v>78</v>
      </c>
      <c r="F2" s="50">
        <v>1</v>
      </c>
      <c r="G2" s="52">
        <v>39.99</v>
      </c>
      <c r="H2" s="51">
        <v>0</v>
      </c>
      <c r="I2" s="52">
        <f>Ordini!$G2/(1+Ordini!$H2)</f>
        <v>39.99</v>
      </c>
      <c r="J2" s="52">
        <v>7.54</v>
      </c>
      <c r="K2" s="52">
        <v>15.100000000000001</v>
      </c>
      <c r="L2" s="52">
        <v>4.8499999999999996</v>
      </c>
      <c r="M2" s="50" t="s">
        <v>22</v>
      </c>
      <c r="N2" s="50"/>
      <c r="O2" s="53">
        <f>Ordini!$K2+Ordini!$J2+Ordini!$L2</f>
        <v>27.490000000000002</v>
      </c>
      <c r="P2" s="53">
        <f>Ordini!$I2-Ordini!$O2</f>
        <v>12.5</v>
      </c>
      <c r="Q2" s="50" t="str">
        <f>IF(Ordini!$P2&lt;0,"DA EVITARE","OK")</f>
        <v>OK</v>
      </c>
      <c r="R2" s="50"/>
    </row>
    <row r="3" spans="1:18" s="55" customFormat="1" x14ac:dyDescent="0.25">
      <c r="A3" s="56" t="s">
        <v>81</v>
      </c>
      <c r="B3" s="57" t="s">
        <v>109</v>
      </c>
      <c r="C3" s="57" t="s">
        <v>20</v>
      </c>
      <c r="D3" s="57" t="s">
        <v>113</v>
      </c>
      <c r="E3" s="57" t="s">
        <v>78</v>
      </c>
      <c r="F3" s="58">
        <v>1</v>
      </c>
      <c r="G3" s="60">
        <v>39.99</v>
      </c>
      <c r="H3" s="59">
        <v>0</v>
      </c>
      <c r="I3" s="60">
        <f>Ordini!$G3/(1+Ordini!$H3)</f>
        <v>39.99</v>
      </c>
      <c r="J3" s="60">
        <v>7.54</v>
      </c>
      <c r="K3" s="60">
        <v>15.100000000000001</v>
      </c>
      <c r="L3" s="60">
        <v>4.8499999999999996</v>
      </c>
      <c r="M3" s="58" t="s">
        <v>22</v>
      </c>
      <c r="N3" s="58"/>
      <c r="O3" s="61">
        <f>Ordini!$K3+Ordini!$J3+Ordini!$L3</f>
        <v>27.490000000000002</v>
      </c>
      <c r="P3" s="61">
        <f>Ordini!$I3-Ordini!$O3</f>
        <v>12.5</v>
      </c>
      <c r="Q3" s="58" t="str">
        <f>IF(Ordini!$P3&lt;0,"DA EVITARE","OK")</f>
        <v>OK</v>
      </c>
      <c r="R3" s="58"/>
    </row>
    <row r="4" spans="1:18" s="62" customFormat="1" x14ac:dyDescent="0.25">
      <c r="A4" s="48" t="s">
        <v>81</v>
      </c>
      <c r="B4" s="49" t="s">
        <v>109</v>
      </c>
      <c r="C4" s="49" t="s">
        <v>20</v>
      </c>
      <c r="D4" s="49" t="s">
        <v>114</v>
      </c>
      <c r="E4" s="49" t="s">
        <v>44</v>
      </c>
      <c r="F4" s="50">
        <v>1</v>
      </c>
      <c r="G4" s="52">
        <v>51.99</v>
      </c>
      <c r="H4" s="51">
        <v>0</v>
      </c>
      <c r="I4" s="52">
        <f>Ordini!$G4/(1+Ordini!$H4)</f>
        <v>51.99</v>
      </c>
      <c r="J4" s="52">
        <v>8.49</v>
      </c>
      <c r="K4" s="52">
        <v>20.970000000000002</v>
      </c>
      <c r="L4" s="52">
        <v>4.8499999999999996</v>
      </c>
      <c r="M4" s="50" t="s">
        <v>22</v>
      </c>
      <c r="N4" s="50"/>
      <c r="O4" s="53">
        <f>Ordini!$K4+Ordini!$J4+Ordini!$L4</f>
        <v>34.31</v>
      </c>
      <c r="P4" s="53">
        <f>Ordini!$I4-Ordini!$O4</f>
        <v>17.68</v>
      </c>
      <c r="Q4" s="50" t="str">
        <f>IF(Ordini!$P4&lt;0,"DA EVITARE","OK")</f>
        <v>OK</v>
      </c>
      <c r="R4" s="50"/>
    </row>
    <row r="5" spans="1:18" s="55" customFormat="1" x14ac:dyDescent="0.25">
      <c r="A5" s="56" t="s">
        <v>81</v>
      </c>
      <c r="B5" s="57" t="s">
        <v>109</v>
      </c>
      <c r="C5" s="57" t="s">
        <v>20</v>
      </c>
      <c r="D5" s="57" t="s">
        <v>115</v>
      </c>
      <c r="E5" s="57" t="s">
        <v>78</v>
      </c>
      <c r="F5" s="58">
        <v>1</v>
      </c>
      <c r="G5" s="60">
        <v>39.99</v>
      </c>
      <c r="H5" s="59">
        <v>0</v>
      </c>
      <c r="I5" s="60">
        <f>Ordini!$G5/(1+Ordini!$H5)</f>
        <v>39.99</v>
      </c>
      <c r="J5" s="60">
        <v>7.54</v>
      </c>
      <c r="K5" s="60">
        <v>15.100000000000001</v>
      </c>
      <c r="L5" s="60">
        <v>4.8499999999999996</v>
      </c>
      <c r="M5" s="58" t="s">
        <v>22</v>
      </c>
      <c r="N5" s="58"/>
      <c r="O5" s="61">
        <f>Ordini!$K5+Ordini!$J5+Ordini!$L5</f>
        <v>27.490000000000002</v>
      </c>
      <c r="P5" s="61">
        <f>Ordini!$I5-Ordini!$O5</f>
        <v>12.5</v>
      </c>
      <c r="Q5" s="58" t="str">
        <f>IF(Ordini!$P5&lt;0,"DA EVITARE","OK")</f>
        <v>OK</v>
      </c>
      <c r="R5" s="58"/>
    </row>
    <row r="6" spans="1:18" s="62" customFormat="1" x14ac:dyDescent="0.25">
      <c r="A6" s="48" t="s">
        <v>81</v>
      </c>
      <c r="B6" s="49" t="s">
        <v>109</v>
      </c>
      <c r="C6" s="49" t="s">
        <v>20</v>
      </c>
      <c r="D6" s="49" t="s">
        <v>116</v>
      </c>
      <c r="E6" s="49" t="s">
        <v>78</v>
      </c>
      <c r="F6" s="50">
        <v>1</v>
      </c>
      <c r="G6" s="52">
        <v>39.99</v>
      </c>
      <c r="H6" s="51">
        <v>0</v>
      </c>
      <c r="I6" s="52">
        <f>Ordini!$G6/(1+Ordini!$H6)</f>
        <v>39.99</v>
      </c>
      <c r="J6" s="52">
        <v>7.54</v>
      </c>
      <c r="K6" s="52">
        <v>15.100000000000001</v>
      </c>
      <c r="L6" s="52">
        <v>4.8499999999999996</v>
      </c>
      <c r="M6" s="50" t="s">
        <v>22</v>
      </c>
      <c r="N6" s="50"/>
      <c r="O6" s="53">
        <f>Ordini!$K6+Ordini!$J6+Ordini!$L6</f>
        <v>27.490000000000002</v>
      </c>
      <c r="P6" s="53">
        <f>Ordini!$I6-Ordini!$O6</f>
        <v>12.5</v>
      </c>
      <c r="Q6" s="50" t="str">
        <f>IF(Ordini!$P6&lt;0,"DA EVITARE","OK")</f>
        <v>OK</v>
      </c>
      <c r="R6" s="50"/>
    </row>
    <row r="7" spans="1:18" s="55" customFormat="1" x14ac:dyDescent="0.25">
      <c r="A7" s="56" t="s">
        <v>81</v>
      </c>
      <c r="B7" s="57" t="s">
        <v>110</v>
      </c>
      <c r="C7" s="57" t="s">
        <v>20</v>
      </c>
      <c r="D7" s="57" t="s">
        <v>117</v>
      </c>
      <c r="E7" s="57" t="s">
        <v>71</v>
      </c>
      <c r="F7" s="58">
        <v>1</v>
      </c>
      <c r="G7" s="60">
        <v>59.72</v>
      </c>
      <c r="H7" s="59">
        <v>0</v>
      </c>
      <c r="I7" s="60">
        <f>Ordini!$G7/(1+Ordini!$H7)</f>
        <v>59.72</v>
      </c>
      <c r="J7" s="60">
        <v>0</v>
      </c>
      <c r="K7" s="60">
        <v>32.049999999999997</v>
      </c>
      <c r="L7" s="60">
        <v>5.87</v>
      </c>
      <c r="M7" s="58" t="s">
        <v>22</v>
      </c>
      <c r="N7" s="58"/>
      <c r="O7" s="61">
        <f>Ordini!$K7+Ordini!$J7+Ordini!$L7</f>
        <v>37.919999999999995</v>
      </c>
      <c r="P7" s="61">
        <f>Ordini!$I7-Ordini!$O7</f>
        <v>21.800000000000004</v>
      </c>
      <c r="Q7" s="58" t="str">
        <f>IF(Ordini!$P7&lt;0,"DA EVITARE","OK")</f>
        <v>OK</v>
      </c>
      <c r="R7" s="58"/>
    </row>
    <row r="8" spans="1:18" s="62" customFormat="1" x14ac:dyDescent="0.25">
      <c r="A8" s="48" t="s">
        <v>81</v>
      </c>
      <c r="B8" s="49" t="s">
        <v>110</v>
      </c>
      <c r="C8" s="49" t="s">
        <v>20</v>
      </c>
      <c r="D8" s="49" t="s">
        <v>118</v>
      </c>
      <c r="E8" s="49" t="s">
        <v>46</v>
      </c>
      <c r="F8" s="50">
        <v>1</v>
      </c>
      <c r="G8" s="52">
        <v>23.68</v>
      </c>
      <c r="H8" s="51">
        <v>0</v>
      </c>
      <c r="I8" s="52">
        <f>Ordini!$G8/(1+Ordini!$H8)</f>
        <v>23.68</v>
      </c>
      <c r="J8" s="52">
        <v>0</v>
      </c>
      <c r="K8" s="52">
        <v>10.82</v>
      </c>
      <c r="L8" s="52">
        <v>4.7699999999999996</v>
      </c>
      <c r="M8" s="50" t="s">
        <v>22</v>
      </c>
      <c r="N8" s="50"/>
      <c r="O8" s="53">
        <f>Ordini!$K8+Ordini!$J8+Ordini!$L8</f>
        <v>15.59</v>
      </c>
      <c r="P8" s="53">
        <f>Ordini!$I8-Ordini!$O8</f>
        <v>8.09</v>
      </c>
      <c r="Q8" s="50" t="str">
        <f>IF(Ordini!$P8&lt;0,"DA EVITARE","OK")</f>
        <v>OK</v>
      </c>
      <c r="R8" s="50"/>
    </row>
    <row r="9" spans="1:18" s="55" customFormat="1" x14ac:dyDescent="0.25">
      <c r="A9" s="56" t="s">
        <v>81</v>
      </c>
      <c r="B9" s="57" t="s">
        <v>111</v>
      </c>
      <c r="C9" s="57" t="s">
        <v>20</v>
      </c>
      <c r="D9" s="57" t="s">
        <v>119</v>
      </c>
      <c r="E9" s="57" t="s">
        <v>47</v>
      </c>
      <c r="F9" s="58">
        <v>1</v>
      </c>
      <c r="G9" s="60">
        <v>39.99</v>
      </c>
      <c r="H9" s="59">
        <v>0</v>
      </c>
      <c r="I9" s="60">
        <f>Ordini!$G9/(1+Ordini!$H9)</f>
        <v>39.99</v>
      </c>
      <c r="J9" s="60">
        <v>3.89</v>
      </c>
      <c r="K9" s="60">
        <v>18.48</v>
      </c>
      <c r="L9" s="60">
        <v>4.7699999999999996</v>
      </c>
      <c r="M9" s="58" t="s">
        <v>22</v>
      </c>
      <c r="N9" s="58"/>
      <c r="O9" s="61">
        <f>Ordini!$K9+Ordini!$J9+Ordini!$L9</f>
        <v>27.14</v>
      </c>
      <c r="P9" s="61">
        <f>Ordini!$I9-Ordini!$O9</f>
        <v>12.850000000000001</v>
      </c>
      <c r="Q9" s="58" t="str">
        <f>IF(Ordini!$P9&lt;0,"DA EVITARE","OK")</f>
        <v>OK</v>
      </c>
      <c r="R9" s="58"/>
    </row>
    <row r="10" spans="1:18" s="62" customFormat="1" x14ac:dyDescent="0.25">
      <c r="A10" s="48" t="s">
        <v>82</v>
      </c>
      <c r="B10" s="49" t="s">
        <v>363</v>
      </c>
      <c r="C10" s="49" t="s">
        <v>20</v>
      </c>
      <c r="D10" s="49" t="s">
        <v>364</v>
      </c>
      <c r="E10" s="49" t="s">
        <v>381</v>
      </c>
      <c r="F10" s="50">
        <v>2</v>
      </c>
      <c r="G10" s="52">
        <v>18.760000000000002</v>
      </c>
      <c r="H10" s="51">
        <v>0</v>
      </c>
      <c r="I10" s="52">
        <f>Ordini!$G10/(1+Ordini!$H10)</f>
        <v>18.760000000000002</v>
      </c>
      <c r="J10" s="52">
        <v>2.81</v>
      </c>
      <c r="K10" s="52">
        <v>4.5384000000000002</v>
      </c>
      <c r="L10" s="52">
        <v>4.3600000000000003</v>
      </c>
      <c r="M10" s="50" t="s">
        <v>22</v>
      </c>
      <c r="N10" s="50"/>
      <c r="O10" s="53">
        <f>Ordini!$K10+Ordini!$J10+Ordini!$L10</f>
        <v>11.708400000000001</v>
      </c>
      <c r="P10" s="53">
        <f>Ordini!$I10-Ordini!$O10</f>
        <v>7.0516000000000005</v>
      </c>
      <c r="Q10" s="50" t="str">
        <f>IF(Ordini!$P10&lt;0,"DA EVITARE","OK")</f>
        <v>OK</v>
      </c>
      <c r="R10" s="50"/>
    </row>
    <row r="11" spans="1:18" s="55" customFormat="1" x14ac:dyDescent="0.25">
      <c r="A11" s="56" t="s">
        <v>82</v>
      </c>
      <c r="B11" s="57" t="s">
        <v>109</v>
      </c>
      <c r="C11" s="57" t="s">
        <v>20</v>
      </c>
      <c r="D11" s="57" t="s">
        <v>120</v>
      </c>
      <c r="E11" s="57" t="s">
        <v>339</v>
      </c>
      <c r="F11" s="58">
        <v>4</v>
      </c>
      <c r="G11" s="60">
        <v>48</v>
      </c>
      <c r="H11" s="59">
        <v>0</v>
      </c>
      <c r="I11" s="60">
        <f>Ordini!$G11/(1+Ordini!$H11)</f>
        <v>48</v>
      </c>
      <c r="J11" s="60">
        <v>9.0500000000000007</v>
      </c>
      <c r="K11" s="60">
        <v>30.76</v>
      </c>
      <c r="L11" s="60">
        <v>4.7699999999999996</v>
      </c>
      <c r="M11" s="58" t="s">
        <v>22</v>
      </c>
      <c r="N11" s="58"/>
      <c r="O11" s="61">
        <f>Ordini!$K11+Ordini!$J11+Ordini!$L11</f>
        <v>44.58</v>
      </c>
      <c r="P11" s="61">
        <f>Ordini!$I11-Ordini!$O11</f>
        <v>3.4200000000000017</v>
      </c>
      <c r="Q11" s="58" t="str">
        <f>IF(Ordini!$P11&lt;0,"DA EVITARE","OK")</f>
        <v>OK</v>
      </c>
      <c r="R11" s="58"/>
    </row>
    <row r="12" spans="1:18" s="62" customFormat="1" x14ac:dyDescent="0.25">
      <c r="A12" s="48" t="s">
        <v>82</v>
      </c>
      <c r="B12" s="49" t="s">
        <v>110</v>
      </c>
      <c r="C12" s="49" t="s">
        <v>20</v>
      </c>
      <c r="D12" s="49" t="s">
        <v>121</v>
      </c>
      <c r="E12" s="49" t="s">
        <v>70</v>
      </c>
      <c r="F12" s="50">
        <v>1</v>
      </c>
      <c r="G12" s="52">
        <v>21.53</v>
      </c>
      <c r="H12" s="51">
        <v>0</v>
      </c>
      <c r="I12" s="52">
        <f>Ordini!$G12/(1+Ordini!$H12)</f>
        <v>21.53</v>
      </c>
      <c r="J12" s="52">
        <v>0</v>
      </c>
      <c r="K12" s="52">
        <v>8.08</v>
      </c>
      <c r="L12" s="52">
        <v>4.7699999999999996</v>
      </c>
      <c r="M12" s="50" t="s">
        <v>22</v>
      </c>
      <c r="N12" s="50"/>
      <c r="O12" s="53">
        <f>Ordini!$K12+Ordini!$J12+Ordini!$L12</f>
        <v>12.85</v>
      </c>
      <c r="P12" s="53">
        <f>Ordini!$I12-Ordini!$O12</f>
        <v>8.6800000000000015</v>
      </c>
      <c r="Q12" s="50" t="str">
        <f>IF(Ordini!$P12&lt;0,"DA EVITARE","OK")</f>
        <v>OK</v>
      </c>
      <c r="R12" s="50"/>
    </row>
    <row r="13" spans="1:18" s="55" customFormat="1" x14ac:dyDescent="0.25">
      <c r="A13" s="56" t="s">
        <v>82</v>
      </c>
      <c r="B13" s="57" t="s">
        <v>110</v>
      </c>
      <c r="C13" s="57" t="s">
        <v>20</v>
      </c>
      <c r="D13" s="57" t="s">
        <v>122</v>
      </c>
      <c r="E13" s="57" t="s">
        <v>340</v>
      </c>
      <c r="F13" s="58">
        <v>1</v>
      </c>
      <c r="G13" s="60">
        <v>54.19</v>
      </c>
      <c r="H13" s="59">
        <v>0</v>
      </c>
      <c r="I13" s="60">
        <f>Ordini!$G13/(1+Ordini!$H13)</f>
        <v>54.19</v>
      </c>
      <c r="J13" s="60">
        <v>0</v>
      </c>
      <c r="K13" s="60">
        <v>42.541399999999996</v>
      </c>
      <c r="L13" s="60">
        <v>12.5</v>
      </c>
      <c r="M13" s="58" t="s">
        <v>22</v>
      </c>
      <c r="N13" s="58"/>
      <c r="O13" s="61">
        <f>Ordini!$K13+Ordini!$J13+Ordini!$L13</f>
        <v>55.041399999999996</v>
      </c>
      <c r="P13" s="61">
        <f>Ordini!$I13-Ordini!$O13</f>
        <v>-0.85139999999999816</v>
      </c>
      <c r="Q13" s="58" t="str">
        <f>IF(Ordini!$P13&lt;0,"DA EVITARE","OK")</f>
        <v>DA EVITARE</v>
      </c>
      <c r="R13" s="58"/>
    </row>
    <row r="14" spans="1:18" s="62" customFormat="1" x14ac:dyDescent="0.25">
      <c r="A14" s="48" t="s">
        <v>82</v>
      </c>
      <c r="B14" s="49" t="s">
        <v>111</v>
      </c>
      <c r="C14" s="49" t="s">
        <v>20</v>
      </c>
      <c r="D14" s="49" t="s">
        <v>123</v>
      </c>
      <c r="E14" s="49" t="s">
        <v>44</v>
      </c>
      <c r="F14" s="50">
        <v>1</v>
      </c>
      <c r="G14" s="52">
        <v>46.03</v>
      </c>
      <c r="H14" s="51">
        <v>0</v>
      </c>
      <c r="I14" s="52">
        <f>Ordini!$G14/(1+Ordini!$H14)</f>
        <v>46.03</v>
      </c>
      <c r="J14" s="52">
        <v>4.42</v>
      </c>
      <c r="K14" s="52">
        <v>20.970000000000002</v>
      </c>
      <c r="L14" s="52">
        <v>4.8499999999999996</v>
      </c>
      <c r="M14" s="50" t="s">
        <v>22</v>
      </c>
      <c r="N14" s="50"/>
      <c r="O14" s="53">
        <f>Ordini!$K14+Ordini!$J14+Ordini!$L14</f>
        <v>30.240000000000002</v>
      </c>
      <c r="P14" s="53">
        <f>Ordini!$I14-Ordini!$O14</f>
        <v>15.79</v>
      </c>
      <c r="Q14" s="50" t="str">
        <f>IF(Ordini!$P14&lt;0,"DA EVITARE","OK")</f>
        <v>OK</v>
      </c>
      <c r="R14" s="50"/>
    </row>
    <row r="15" spans="1:18" s="55" customFormat="1" x14ac:dyDescent="0.25">
      <c r="A15" s="56" t="s">
        <v>83</v>
      </c>
      <c r="B15" s="57" t="s">
        <v>365</v>
      </c>
      <c r="C15" s="57" t="s">
        <v>366</v>
      </c>
      <c r="D15" s="57" t="s">
        <v>367</v>
      </c>
      <c r="E15" s="57" t="s">
        <v>382</v>
      </c>
      <c r="F15" s="58">
        <v>1</v>
      </c>
      <c r="G15" s="60">
        <v>42.24</v>
      </c>
      <c r="H15" s="59">
        <v>0</v>
      </c>
      <c r="I15" s="60">
        <f>Ordini!$G15/(1+Ordini!$H15)</f>
        <v>42.24</v>
      </c>
      <c r="J15" s="60">
        <v>5.49</v>
      </c>
      <c r="K15" s="60">
        <v>19.52</v>
      </c>
      <c r="L15" s="60">
        <v>9.01</v>
      </c>
      <c r="M15" s="58" t="s">
        <v>22</v>
      </c>
      <c r="N15" s="58"/>
      <c r="O15" s="61">
        <f>Ordini!$K15+Ordini!$J15+Ordini!$L15</f>
        <v>34.019999999999996</v>
      </c>
      <c r="P15" s="61">
        <f>Ordini!$I15-Ordini!$O15</f>
        <v>8.220000000000006</v>
      </c>
      <c r="Q15" s="58" t="str">
        <f>IF(Ordini!$P15&lt;0,"DA EVITARE","OK")</f>
        <v>OK</v>
      </c>
      <c r="R15" s="58"/>
    </row>
    <row r="16" spans="1:18" s="62" customFormat="1" x14ac:dyDescent="0.25">
      <c r="A16" s="48">
        <v>46116</v>
      </c>
      <c r="B16" s="49" t="s">
        <v>365</v>
      </c>
      <c r="C16" s="49" t="s">
        <v>368</v>
      </c>
      <c r="D16" s="49" t="s">
        <v>369</v>
      </c>
      <c r="E16" s="49" t="s">
        <v>383</v>
      </c>
      <c r="F16" s="50">
        <v>1</v>
      </c>
      <c r="G16" s="52">
        <v>207.1</v>
      </c>
      <c r="H16" s="51">
        <v>0</v>
      </c>
      <c r="I16" s="52">
        <f>Ordini!$G16/(1+Ordini!$H16)</f>
        <v>207.1</v>
      </c>
      <c r="J16" s="52">
        <v>26.92</v>
      </c>
      <c r="K16" s="52">
        <v>124.26</v>
      </c>
      <c r="L16" s="52">
        <v>8.08</v>
      </c>
      <c r="M16" s="50" t="s">
        <v>22</v>
      </c>
      <c r="N16" s="50"/>
      <c r="O16" s="53">
        <f>Ordini!$K16+Ordini!$J16+Ordini!$L16</f>
        <v>159.26000000000002</v>
      </c>
      <c r="P16" s="53">
        <f>Ordini!$I16-Ordini!$O16</f>
        <v>47.839999999999975</v>
      </c>
      <c r="Q16" s="50" t="str">
        <f>IF(Ordini!$P16&lt;0,"DA EVITARE","OK")</f>
        <v>OK</v>
      </c>
      <c r="R16" s="50"/>
    </row>
    <row r="17" spans="1:18" s="55" customFormat="1" x14ac:dyDescent="0.25">
      <c r="A17" s="56" t="s">
        <v>83</v>
      </c>
      <c r="B17" s="57" t="s">
        <v>109</v>
      </c>
      <c r="C17" s="57" t="s">
        <v>20</v>
      </c>
      <c r="D17" s="57" t="s">
        <v>124</v>
      </c>
      <c r="E17" s="57" t="s">
        <v>71</v>
      </c>
      <c r="F17" s="58">
        <v>1</v>
      </c>
      <c r="G17" s="60">
        <v>68.900000000000006</v>
      </c>
      <c r="H17" s="59">
        <v>0</v>
      </c>
      <c r="I17" s="60">
        <f>Ordini!$G17/(1+Ordini!$H17)</f>
        <v>68.900000000000006</v>
      </c>
      <c r="J17" s="60">
        <v>11.26</v>
      </c>
      <c r="K17" s="60">
        <v>32.049999999999997</v>
      </c>
      <c r="L17" s="60">
        <v>5.87</v>
      </c>
      <c r="M17" s="58" t="s">
        <v>22</v>
      </c>
      <c r="N17" s="58"/>
      <c r="O17" s="61">
        <f>Ordini!$K17+Ordini!$J17+Ordini!$L17</f>
        <v>49.179999999999993</v>
      </c>
      <c r="P17" s="61">
        <f>Ordini!$I17-Ordini!$O17</f>
        <v>19.720000000000013</v>
      </c>
      <c r="Q17" s="58" t="str">
        <f>IF(Ordini!$P17&lt;0,"DA EVITARE","OK")</f>
        <v>OK</v>
      </c>
      <c r="R17" s="58"/>
    </row>
    <row r="18" spans="1:18" s="62" customFormat="1" x14ac:dyDescent="0.25">
      <c r="A18" s="48" t="s">
        <v>83</v>
      </c>
      <c r="B18" s="49" t="s">
        <v>110</v>
      </c>
      <c r="C18" s="49" t="s">
        <v>20</v>
      </c>
      <c r="D18" s="49" t="s">
        <v>125</v>
      </c>
      <c r="E18" s="49" t="s">
        <v>46</v>
      </c>
      <c r="F18" s="50">
        <v>1</v>
      </c>
      <c r="G18" s="52">
        <v>23.68</v>
      </c>
      <c r="H18" s="51">
        <v>0</v>
      </c>
      <c r="I18" s="52">
        <f>Ordini!$G18/(1+Ordini!$H18)</f>
        <v>23.68</v>
      </c>
      <c r="J18" s="52">
        <v>0</v>
      </c>
      <c r="K18" s="52">
        <v>10.82</v>
      </c>
      <c r="L18" s="52">
        <v>4.7699999999999996</v>
      </c>
      <c r="M18" s="50" t="s">
        <v>22</v>
      </c>
      <c r="N18" s="50"/>
      <c r="O18" s="53">
        <f>Ordini!$K18+Ordini!$J18+Ordini!$L18</f>
        <v>15.59</v>
      </c>
      <c r="P18" s="53">
        <f>Ordini!$I18-Ordini!$O18</f>
        <v>8.09</v>
      </c>
      <c r="Q18" s="50" t="str">
        <f>IF(Ordini!$P18&lt;0,"DA EVITARE","OK")</f>
        <v>OK</v>
      </c>
      <c r="R18" s="50"/>
    </row>
    <row r="19" spans="1:18" s="55" customFormat="1" x14ac:dyDescent="0.25">
      <c r="A19" s="56" t="s">
        <v>84</v>
      </c>
      <c r="B19" s="57" t="s">
        <v>109</v>
      </c>
      <c r="C19" s="57" t="s">
        <v>20</v>
      </c>
      <c r="D19" s="57" t="s">
        <v>126</v>
      </c>
      <c r="E19" s="57" t="s">
        <v>341</v>
      </c>
      <c r="F19" s="58">
        <v>2</v>
      </c>
      <c r="G19" s="60">
        <v>52</v>
      </c>
      <c r="H19" s="59">
        <v>0</v>
      </c>
      <c r="I19" s="60">
        <f>Ordini!$G19/(1+Ordini!$H19)</f>
        <v>52</v>
      </c>
      <c r="J19" s="60">
        <v>9.7899999999999991</v>
      </c>
      <c r="K19" s="60">
        <v>30.77</v>
      </c>
      <c r="L19" s="60">
        <v>4.7699999999999996</v>
      </c>
      <c r="M19" s="58" t="s">
        <v>22</v>
      </c>
      <c r="N19" s="58"/>
      <c r="O19" s="61">
        <f>Ordini!$K19+Ordini!$J19+Ordini!$L19</f>
        <v>45.33</v>
      </c>
      <c r="P19" s="61">
        <f>Ordini!$I19-Ordini!$O19</f>
        <v>6.6700000000000017</v>
      </c>
      <c r="Q19" s="58" t="str">
        <f>IF(Ordini!$P19&lt;0,"DA EVITARE","OK")</f>
        <v>OK</v>
      </c>
      <c r="R19" s="58"/>
    </row>
    <row r="20" spans="1:18" s="62" customFormat="1" x14ac:dyDescent="0.25">
      <c r="A20" s="48" t="s">
        <v>84</v>
      </c>
      <c r="B20" s="49" t="s">
        <v>109</v>
      </c>
      <c r="C20" s="49" t="s">
        <v>20</v>
      </c>
      <c r="D20" s="49" t="s">
        <v>127</v>
      </c>
      <c r="E20" s="49" t="s">
        <v>342</v>
      </c>
      <c r="F20" s="50">
        <v>4</v>
      </c>
      <c r="G20" s="52">
        <v>160</v>
      </c>
      <c r="H20" s="51">
        <v>0</v>
      </c>
      <c r="I20" s="52">
        <f>Ordini!$G20/(1+Ordini!$H20)</f>
        <v>160</v>
      </c>
      <c r="J20" s="52">
        <v>30.16</v>
      </c>
      <c r="K20" s="52">
        <v>94.67</v>
      </c>
      <c r="L20" s="52">
        <v>4.7699999999999996</v>
      </c>
      <c r="M20" s="50" t="s">
        <v>22</v>
      </c>
      <c r="N20" s="50"/>
      <c r="O20" s="53">
        <f>Ordini!$K20+Ordini!$J20+Ordini!$L20</f>
        <v>129.6</v>
      </c>
      <c r="P20" s="53">
        <f>Ordini!$I20-Ordini!$O20</f>
        <v>30.400000000000006</v>
      </c>
      <c r="Q20" s="50" t="str">
        <f>IF(Ordini!$P20&lt;0,"DA EVITARE","OK")</f>
        <v>OK</v>
      </c>
      <c r="R20" s="50"/>
    </row>
    <row r="21" spans="1:18" s="55" customFormat="1" x14ac:dyDescent="0.25">
      <c r="A21" s="56" t="s">
        <v>84</v>
      </c>
      <c r="B21" s="57" t="s">
        <v>109</v>
      </c>
      <c r="C21" s="57" t="s">
        <v>20</v>
      </c>
      <c r="D21" s="57" t="s">
        <v>128</v>
      </c>
      <c r="E21" s="57" t="s">
        <v>44</v>
      </c>
      <c r="F21" s="58">
        <v>1</v>
      </c>
      <c r="G21" s="60">
        <v>51.99</v>
      </c>
      <c r="H21" s="59">
        <v>0</v>
      </c>
      <c r="I21" s="60">
        <f>Ordini!$G21/(1+Ordini!$H21)</f>
        <v>51.99</v>
      </c>
      <c r="J21" s="60">
        <v>8.49</v>
      </c>
      <c r="K21" s="60">
        <v>20.970000000000002</v>
      </c>
      <c r="L21" s="60">
        <v>4.8499999999999996</v>
      </c>
      <c r="M21" s="58" t="s">
        <v>22</v>
      </c>
      <c r="N21" s="58"/>
      <c r="O21" s="61">
        <f>Ordini!$K21+Ordini!$J21+Ordini!$L21</f>
        <v>34.31</v>
      </c>
      <c r="P21" s="61">
        <f>Ordini!$I21-Ordini!$O21</f>
        <v>17.68</v>
      </c>
      <c r="Q21" s="58" t="str">
        <f>IF(Ordini!$P21&lt;0,"DA EVITARE","OK")</f>
        <v>OK</v>
      </c>
      <c r="R21" s="58"/>
    </row>
    <row r="22" spans="1:18" s="62" customFormat="1" x14ac:dyDescent="0.25">
      <c r="A22" s="48" t="s">
        <v>84</v>
      </c>
      <c r="B22" s="49" t="s">
        <v>109</v>
      </c>
      <c r="C22" s="49" t="s">
        <v>20</v>
      </c>
      <c r="D22" s="49" t="s">
        <v>129</v>
      </c>
      <c r="E22" s="49" t="s">
        <v>44</v>
      </c>
      <c r="F22" s="50">
        <v>1</v>
      </c>
      <c r="G22" s="52">
        <v>51.99</v>
      </c>
      <c r="H22" s="51">
        <v>0</v>
      </c>
      <c r="I22" s="52">
        <f>Ordini!$G22/(1+Ordini!$H22)</f>
        <v>51.99</v>
      </c>
      <c r="J22" s="52">
        <v>8.49</v>
      </c>
      <c r="K22" s="52">
        <v>20.970000000000002</v>
      </c>
      <c r="L22" s="52">
        <v>4.8499999999999996</v>
      </c>
      <c r="M22" s="50" t="s">
        <v>22</v>
      </c>
      <c r="N22" s="50"/>
      <c r="O22" s="53">
        <f>Ordini!$K22+Ordini!$J22+Ordini!$L22</f>
        <v>34.31</v>
      </c>
      <c r="P22" s="53">
        <f>Ordini!$I22-Ordini!$O22</f>
        <v>17.68</v>
      </c>
      <c r="Q22" s="50" t="str">
        <f>IF(Ordini!$P22&lt;0,"DA EVITARE","OK")</f>
        <v>OK</v>
      </c>
      <c r="R22" s="50"/>
    </row>
    <row r="23" spans="1:18" s="55" customFormat="1" x14ac:dyDescent="0.25">
      <c r="A23" s="56" t="s">
        <v>84</v>
      </c>
      <c r="B23" s="57" t="s">
        <v>110</v>
      </c>
      <c r="C23" s="57" t="s">
        <v>20</v>
      </c>
      <c r="D23" s="57" t="s">
        <v>130</v>
      </c>
      <c r="E23" s="57" t="s">
        <v>394</v>
      </c>
      <c r="F23" s="58">
        <v>1</v>
      </c>
      <c r="G23" s="60">
        <v>17.27</v>
      </c>
      <c r="H23" s="59">
        <v>0</v>
      </c>
      <c r="I23" s="60">
        <f>Ordini!$G23/(1+Ordini!$H23)</f>
        <v>17.27</v>
      </c>
      <c r="J23" s="60">
        <v>0</v>
      </c>
      <c r="K23" s="60">
        <v>10.918999999999999</v>
      </c>
      <c r="L23" s="60">
        <v>4.3600000000000003</v>
      </c>
      <c r="M23" s="58" t="s">
        <v>22</v>
      </c>
      <c r="N23" s="58"/>
      <c r="O23" s="61">
        <f>Ordini!$K23+Ordini!$J23+Ordini!$L23</f>
        <v>15.279</v>
      </c>
      <c r="P23" s="61">
        <f>Ordini!$I23-Ordini!$O23</f>
        <v>1.9909999999999997</v>
      </c>
      <c r="Q23" s="58" t="str">
        <f>IF(Ordini!$P23&lt;0,"DA EVITARE","OK")</f>
        <v>OK</v>
      </c>
      <c r="R23" s="58"/>
    </row>
    <row r="24" spans="1:18" s="62" customFormat="1" x14ac:dyDescent="0.25">
      <c r="A24" s="48" t="s">
        <v>84</v>
      </c>
      <c r="B24" s="49" t="s">
        <v>111</v>
      </c>
      <c r="C24" s="49" t="s">
        <v>20</v>
      </c>
      <c r="D24" s="49" t="s">
        <v>131</v>
      </c>
      <c r="E24" s="49" t="s">
        <v>44</v>
      </c>
      <c r="F24" s="50">
        <v>1</v>
      </c>
      <c r="G24" s="52">
        <v>43.73</v>
      </c>
      <c r="H24" s="51">
        <v>0</v>
      </c>
      <c r="I24" s="52">
        <f>Ordini!$G24/(1+Ordini!$H24)</f>
        <v>43.73</v>
      </c>
      <c r="J24" s="52">
        <v>4.21</v>
      </c>
      <c r="K24" s="52">
        <v>20.970000000000002</v>
      </c>
      <c r="L24" s="52">
        <v>4.8499999999999996</v>
      </c>
      <c r="M24" s="50" t="s">
        <v>22</v>
      </c>
      <c r="N24" s="50"/>
      <c r="O24" s="53">
        <f>Ordini!$K24+Ordini!$J24+Ordini!$L24</f>
        <v>30.03</v>
      </c>
      <c r="P24" s="53">
        <f>Ordini!$I24-Ordini!$O24</f>
        <v>13.699999999999996</v>
      </c>
      <c r="Q24" s="50" t="str">
        <f>IF(Ordini!$P24&lt;0,"DA EVITARE","OK")</f>
        <v>OK</v>
      </c>
      <c r="R24" s="50"/>
    </row>
    <row r="25" spans="1:18" s="55" customFormat="1" x14ac:dyDescent="0.25">
      <c r="A25" s="56" t="s">
        <v>85</v>
      </c>
      <c r="B25" s="57" t="s">
        <v>109</v>
      </c>
      <c r="C25" s="57" t="s">
        <v>20</v>
      </c>
      <c r="D25" s="57" t="s">
        <v>132</v>
      </c>
      <c r="E25" s="57" t="s">
        <v>343</v>
      </c>
      <c r="F25" s="58">
        <v>1</v>
      </c>
      <c r="G25" s="60">
        <v>23.5</v>
      </c>
      <c r="H25" s="59">
        <v>0</v>
      </c>
      <c r="I25" s="60">
        <f>Ordini!$G25/(1+Ordini!$H25)</f>
        <v>23.5</v>
      </c>
      <c r="J25" s="60">
        <v>3.84</v>
      </c>
      <c r="K25" s="60">
        <v>10.504199999999999</v>
      </c>
      <c r="L25" s="60">
        <v>4.3600000000000003</v>
      </c>
      <c r="M25" s="58" t="s">
        <v>22</v>
      </c>
      <c r="N25" s="58"/>
      <c r="O25" s="61">
        <f>Ordini!$K25+Ordini!$J25+Ordini!$L25</f>
        <v>18.7042</v>
      </c>
      <c r="P25" s="61">
        <f>Ordini!$I25-Ordini!$O25</f>
        <v>4.7957999999999998</v>
      </c>
      <c r="Q25" s="58" t="str">
        <f>IF(Ordini!$P25&lt;0,"DA EVITARE","OK")</f>
        <v>OK</v>
      </c>
      <c r="R25" s="58"/>
    </row>
    <row r="26" spans="1:18" s="62" customFormat="1" x14ac:dyDescent="0.25">
      <c r="A26" s="48" t="s">
        <v>85</v>
      </c>
      <c r="B26" s="49" t="s">
        <v>110</v>
      </c>
      <c r="C26" s="49" t="s">
        <v>20</v>
      </c>
      <c r="D26" s="49" t="s">
        <v>133</v>
      </c>
      <c r="E26" s="49" t="s">
        <v>70</v>
      </c>
      <c r="F26" s="50">
        <v>1</v>
      </c>
      <c r="G26" s="52">
        <v>21.53</v>
      </c>
      <c r="H26" s="51">
        <v>0</v>
      </c>
      <c r="I26" s="52">
        <f>Ordini!$G26/(1+Ordini!$H26)</f>
        <v>21.53</v>
      </c>
      <c r="J26" s="52">
        <v>0</v>
      </c>
      <c r="K26" s="52">
        <v>8.08</v>
      </c>
      <c r="L26" s="52">
        <v>4.7699999999999996</v>
      </c>
      <c r="M26" s="50" t="s">
        <v>22</v>
      </c>
      <c r="N26" s="50"/>
      <c r="O26" s="53">
        <f>Ordini!$K26+Ordini!$J26+Ordini!$L26</f>
        <v>12.85</v>
      </c>
      <c r="P26" s="53">
        <f>Ordini!$I26-Ordini!$O26</f>
        <v>8.6800000000000015</v>
      </c>
      <c r="Q26" s="50" t="str">
        <f>IF(Ordini!$P26&lt;0,"DA EVITARE","OK")</f>
        <v>OK</v>
      </c>
      <c r="R26" s="50"/>
    </row>
    <row r="27" spans="1:18" s="55" customFormat="1" x14ac:dyDescent="0.25">
      <c r="A27" s="56" t="s">
        <v>85</v>
      </c>
      <c r="B27" s="57" t="s">
        <v>111</v>
      </c>
      <c r="C27" s="57" t="s">
        <v>20</v>
      </c>
      <c r="D27" s="57" t="s">
        <v>134</v>
      </c>
      <c r="E27" s="57" t="s">
        <v>44</v>
      </c>
      <c r="F27" s="58">
        <v>1</v>
      </c>
      <c r="G27" s="60">
        <v>46</v>
      </c>
      <c r="H27" s="59">
        <v>0</v>
      </c>
      <c r="I27" s="60">
        <f>Ordini!$G27/(1+Ordini!$H27)</f>
        <v>46</v>
      </c>
      <c r="J27" s="60">
        <v>4.42</v>
      </c>
      <c r="K27" s="60">
        <v>20.970000000000002</v>
      </c>
      <c r="L27" s="60">
        <v>4.8499999999999996</v>
      </c>
      <c r="M27" s="58" t="s">
        <v>22</v>
      </c>
      <c r="N27" s="58"/>
      <c r="O27" s="61">
        <f>Ordini!$K27+Ordini!$J27+Ordini!$L27</f>
        <v>30.240000000000002</v>
      </c>
      <c r="P27" s="61">
        <f>Ordini!$I27-Ordini!$O27</f>
        <v>15.759999999999998</v>
      </c>
      <c r="Q27" s="58" t="str">
        <f>IF(Ordini!$P27&lt;0,"DA EVITARE","OK")</f>
        <v>OK</v>
      </c>
      <c r="R27" s="58"/>
    </row>
    <row r="28" spans="1:18" s="62" customFormat="1" x14ac:dyDescent="0.25">
      <c r="A28" s="48" t="s">
        <v>86</v>
      </c>
      <c r="B28" s="49" t="s">
        <v>109</v>
      </c>
      <c r="C28" s="49" t="s">
        <v>20</v>
      </c>
      <c r="D28" s="49" t="s">
        <v>135</v>
      </c>
      <c r="E28" s="49" t="s">
        <v>69</v>
      </c>
      <c r="F28" s="50">
        <v>1</v>
      </c>
      <c r="G28" s="52">
        <v>89.99</v>
      </c>
      <c r="H28" s="51">
        <v>0</v>
      </c>
      <c r="I28" s="52">
        <f>Ordini!$G28/(1+Ordini!$H28)</f>
        <v>89.99</v>
      </c>
      <c r="J28" s="52">
        <v>16.98</v>
      </c>
      <c r="K28" s="52">
        <v>38.61</v>
      </c>
      <c r="L28" s="52">
        <v>8.07</v>
      </c>
      <c r="M28" s="50" t="s">
        <v>22</v>
      </c>
      <c r="N28" s="50"/>
      <c r="O28" s="53">
        <f>Ordini!$K28+Ordini!$J28+Ordini!$L28</f>
        <v>63.660000000000004</v>
      </c>
      <c r="P28" s="53">
        <f>Ordini!$I28-Ordini!$O28</f>
        <v>26.329999999999991</v>
      </c>
      <c r="Q28" s="50" t="str">
        <f>IF(Ordini!$P28&lt;0,"DA EVITARE","OK")</f>
        <v>OK</v>
      </c>
      <c r="R28" s="50"/>
    </row>
    <row r="29" spans="1:18" s="55" customFormat="1" x14ac:dyDescent="0.25">
      <c r="A29" s="56" t="s">
        <v>86</v>
      </c>
      <c r="B29" s="57" t="s">
        <v>109</v>
      </c>
      <c r="C29" s="57" t="s">
        <v>20</v>
      </c>
      <c r="D29" s="57" t="s">
        <v>136</v>
      </c>
      <c r="E29" s="57" t="s">
        <v>344</v>
      </c>
      <c r="F29" s="58">
        <v>1</v>
      </c>
      <c r="G29" s="60">
        <v>44.34</v>
      </c>
      <c r="H29" s="59">
        <v>0</v>
      </c>
      <c r="I29" s="60">
        <f>Ordini!$G29/(1+Ordini!$H29)</f>
        <v>44.34</v>
      </c>
      <c r="J29" s="60">
        <v>8.3699999999999992</v>
      </c>
      <c r="K29" s="60">
        <v>28.852999999999998</v>
      </c>
      <c r="L29" s="60">
        <v>4.8499999999999996</v>
      </c>
      <c r="M29" s="58" t="s">
        <v>22</v>
      </c>
      <c r="N29" s="58"/>
      <c r="O29" s="61">
        <f>Ordini!$K29+Ordini!$J29+Ordini!$L29</f>
        <v>42.073</v>
      </c>
      <c r="P29" s="61">
        <f>Ordini!$I29-Ordini!$O29</f>
        <v>2.267000000000003</v>
      </c>
      <c r="Q29" s="58" t="str">
        <f>IF(Ordini!$P29&lt;0,"DA EVITARE","OK")</f>
        <v>OK</v>
      </c>
      <c r="R29" s="58"/>
    </row>
    <row r="30" spans="1:18" s="62" customFormat="1" x14ac:dyDescent="0.25">
      <c r="A30" s="48" t="s">
        <v>86</v>
      </c>
      <c r="B30" s="49" t="s">
        <v>109</v>
      </c>
      <c r="C30" s="49" t="s">
        <v>20</v>
      </c>
      <c r="D30" s="49" t="s">
        <v>137</v>
      </c>
      <c r="E30" s="49" t="s">
        <v>339</v>
      </c>
      <c r="F30" s="50">
        <v>1</v>
      </c>
      <c r="G30" s="52">
        <v>12</v>
      </c>
      <c r="H30" s="51">
        <v>0</v>
      </c>
      <c r="I30" s="52">
        <f>Ordini!$G30/(1+Ordini!$H30)</f>
        <v>12</v>
      </c>
      <c r="J30" s="52">
        <v>2.27</v>
      </c>
      <c r="K30" s="52">
        <v>7.69</v>
      </c>
      <c r="L30" s="52">
        <v>4.7699999999999996</v>
      </c>
      <c r="M30" s="50" t="s">
        <v>22</v>
      </c>
      <c r="N30" s="50"/>
      <c r="O30" s="53">
        <f>Ordini!$K30+Ordini!$J30+Ordini!$L30</f>
        <v>14.73</v>
      </c>
      <c r="P30" s="53">
        <f>Ordini!$I30-Ordini!$O30</f>
        <v>-2.7300000000000004</v>
      </c>
      <c r="Q30" s="50" t="str">
        <f>IF(Ordini!$P30&lt;0,"DA EVITARE","OK")</f>
        <v>DA EVITARE</v>
      </c>
      <c r="R30" s="50"/>
    </row>
    <row r="31" spans="1:18" s="55" customFormat="1" x14ac:dyDescent="0.25">
      <c r="A31" s="56" t="s">
        <v>86</v>
      </c>
      <c r="B31" s="57" t="s">
        <v>110</v>
      </c>
      <c r="C31" s="57" t="s">
        <v>20</v>
      </c>
      <c r="D31" s="57" t="s">
        <v>138</v>
      </c>
      <c r="E31" s="57" t="s">
        <v>345</v>
      </c>
      <c r="F31" s="58">
        <v>1</v>
      </c>
      <c r="G31" s="60">
        <v>10.11</v>
      </c>
      <c r="H31" s="59">
        <v>0</v>
      </c>
      <c r="I31" s="60">
        <f>Ordini!$G31/(1+Ordini!$H31)</f>
        <v>10.11</v>
      </c>
      <c r="J31" s="60">
        <v>0</v>
      </c>
      <c r="K31" s="60">
        <v>2.14</v>
      </c>
      <c r="L31" s="60">
        <v>4.3600000000000003</v>
      </c>
      <c r="M31" s="58" t="s">
        <v>22</v>
      </c>
      <c r="N31" s="58"/>
      <c r="O31" s="61">
        <f>Ordini!$K31+Ordini!$J31+Ordini!$L31</f>
        <v>6.5</v>
      </c>
      <c r="P31" s="61">
        <f>Ordini!$I31-Ordini!$O31</f>
        <v>3.6099999999999994</v>
      </c>
      <c r="Q31" s="58" t="str">
        <f>IF(Ordini!$P31&lt;0,"DA EVITARE","OK")</f>
        <v>OK</v>
      </c>
      <c r="R31" s="58"/>
    </row>
    <row r="32" spans="1:18" s="62" customFormat="1" x14ac:dyDescent="0.25">
      <c r="A32" s="48" t="s">
        <v>87</v>
      </c>
      <c r="B32" s="49" t="s">
        <v>109</v>
      </c>
      <c r="C32" s="49" t="s">
        <v>20</v>
      </c>
      <c r="D32" s="49" t="s">
        <v>139</v>
      </c>
      <c r="E32" s="49" t="s">
        <v>346</v>
      </c>
      <c r="F32" s="50">
        <v>1</v>
      </c>
      <c r="G32" s="52">
        <v>13.42</v>
      </c>
      <c r="H32" s="51">
        <v>0</v>
      </c>
      <c r="I32" s="52">
        <f>Ordini!$G32/(1+Ordini!$H32)</f>
        <v>13.42</v>
      </c>
      <c r="J32" s="52">
        <v>2.52</v>
      </c>
      <c r="K32" s="52">
        <v>2.7815999999999996</v>
      </c>
      <c r="L32" s="52">
        <v>4.3600000000000003</v>
      </c>
      <c r="M32" s="50" t="s">
        <v>22</v>
      </c>
      <c r="N32" s="50"/>
      <c r="O32" s="53">
        <f>Ordini!$K32+Ordini!$J32+Ordini!$L32</f>
        <v>9.6616</v>
      </c>
      <c r="P32" s="53">
        <f>Ordini!$I32-Ordini!$O32</f>
        <v>3.7584</v>
      </c>
      <c r="Q32" s="50" t="str">
        <f>IF(Ordini!$P32&lt;0,"DA EVITARE","OK")</f>
        <v>OK</v>
      </c>
      <c r="R32" s="50"/>
    </row>
    <row r="33" spans="1:18" s="55" customFormat="1" x14ac:dyDescent="0.25">
      <c r="A33" s="56" t="s">
        <v>87</v>
      </c>
      <c r="B33" s="57" t="s">
        <v>109</v>
      </c>
      <c r="C33" s="57" t="s">
        <v>20</v>
      </c>
      <c r="D33" s="57" t="s">
        <v>140</v>
      </c>
      <c r="E33" s="57" t="s">
        <v>44</v>
      </c>
      <c r="F33" s="58">
        <v>1</v>
      </c>
      <c r="G33" s="60">
        <v>51.99</v>
      </c>
      <c r="H33" s="59">
        <v>0</v>
      </c>
      <c r="I33" s="60">
        <f>Ordini!$G33/(1+Ordini!$H33)</f>
        <v>51.99</v>
      </c>
      <c r="J33" s="60">
        <v>8.5</v>
      </c>
      <c r="K33" s="60">
        <v>20.970000000000002</v>
      </c>
      <c r="L33" s="60">
        <v>4.8499999999999996</v>
      </c>
      <c r="M33" s="58" t="s">
        <v>22</v>
      </c>
      <c r="N33" s="58"/>
      <c r="O33" s="61">
        <f>Ordini!$K33+Ordini!$J33+Ordini!$L33</f>
        <v>34.32</v>
      </c>
      <c r="P33" s="61">
        <f>Ordini!$I33-Ordini!$O33</f>
        <v>17.670000000000002</v>
      </c>
      <c r="Q33" s="58" t="str">
        <f>IF(Ordini!$P33&lt;0,"DA EVITARE","OK")</f>
        <v>OK</v>
      </c>
      <c r="R33" s="58"/>
    </row>
    <row r="34" spans="1:18" s="62" customFormat="1" x14ac:dyDescent="0.25">
      <c r="A34" s="48" t="s">
        <v>87</v>
      </c>
      <c r="B34" s="49" t="s">
        <v>110</v>
      </c>
      <c r="C34" s="49" t="s">
        <v>20</v>
      </c>
      <c r="D34" s="49" t="s">
        <v>141</v>
      </c>
      <c r="E34" s="49" t="s">
        <v>394</v>
      </c>
      <c r="F34" s="50">
        <v>1</v>
      </c>
      <c r="G34" s="52">
        <v>17.27</v>
      </c>
      <c r="H34" s="51">
        <v>0</v>
      </c>
      <c r="I34" s="52">
        <f>Ordini!$G34/(1+Ordini!$H34)</f>
        <v>17.27</v>
      </c>
      <c r="J34" s="52">
        <v>0</v>
      </c>
      <c r="K34" s="52">
        <v>10.918999999999999</v>
      </c>
      <c r="L34" s="52">
        <v>4.3600000000000003</v>
      </c>
      <c r="M34" s="50" t="s">
        <v>22</v>
      </c>
      <c r="N34" s="50"/>
      <c r="O34" s="53">
        <f>Ordini!$K34+Ordini!$J34+Ordini!$L34</f>
        <v>15.279</v>
      </c>
      <c r="P34" s="53">
        <f>Ordini!$I34-Ordini!$O34</f>
        <v>1.9909999999999997</v>
      </c>
      <c r="Q34" s="50" t="str">
        <f>IF(Ordini!$P34&lt;0,"DA EVITARE","OK")</f>
        <v>OK</v>
      </c>
      <c r="R34" s="50"/>
    </row>
    <row r="35" spans="1:18" s="55" customFormat="1" x14ac:dyDescent="0.25">
      <c r="A35" s="56" t="s">
        <v>88</v>
      </c>
      <c r="B35" s="57" t="s">
        <v>363</v>
      </c>
      <c r="C35" s="57" t="s">
        <v>20</v>
      </c>
      <c r="D35" s="57" t="s">
        <v>370</v>
      </c>
      <c r="E35" s="57" t="s">
        <v>384</v>
      </c>
      <c r="F35" s="58">
        <v>1</v>
      </c>
      <c r="G35" s="60">
        <v>9.4600000000000009</v>
      </c>
      <c r="H35" s="59">
        <v>0</v>
      </c>
      <c r="I35" s="60">
        <f>Ordini!$G35/(1+Ordini!$H35)</f>
        <v>9.4600000000000009</v>
      </c>
      <c r="J35" s="60">
        <v>1.1399999999999999</v>
      </c>
      <c r="K35" s="60">
        <v>2.3912</v>
      </c>
      <c r="L35" s="60">
        <v>4.3600000000000003</v>
      </c>
      <c r="M35" s="58" t="s">
        <v>22</v>
      </c>
      <c r="N35" s="58"/>
      <c r="O35" s="61">
        <f>Ordini!$K35+Ordini!$J35+Ordini!$L35</f>
        <v>7.8912000000000004</v>
      </c>
      <c r="P35" s="61">
        <f>Ordini!$I35-Ordini!$O35</f>
        <v>1.5688000000000004</v>
      </c>
      <c r="Q35" s="58" t="str">
        <f>IF(Ordini!$P35&lt;0,"DA EVITARE","OK")</f>
        <v>OK</v>
      </c>
      <c r="R35" s="58"/>
    </row>
    <row r="36" spans="1:18" s="62" customFormat="1" x14ac:dyDescent="0.25">
      <c r="A36" s="48" t="s">
        <v>89</v>
      </c>
      <c r="B36" s="49" t="s">
        <v>110</v>
      </c>
      <c r="C36" s="49" t="s">
        <v>20</v>
      </c>
      <c r="D36" s="49" t="s">
        <v>142</v>
      </c>
      <c r="E36" s="49" t="s">
        <v>394</v>
      </c>
      <c r="F36" s="50">
        <v>1</v>
      </c>
      <c r="G36" s="52">
        <v>17.27</v>
      </c>
      <c r="H36" s="51">
        <v>0</v>
      </c>
      <c r="I36" s="52">
        <f>Ordini!$G36/(1+Ordini!$H36)</f>
        <v>17.27</v>
      </c>
      <c r="J36" s="52">
        <v>0</v>
      </c>
      <c r="K36" s="52">
        <v>10.918999999999999</v>
      </c>
      <c r="L36" s="52">
        <v>4.3600000000000003</v>
      </c>
      <c r="M36" s="50" t="s">
        <v>22</v>
      </c>
      <c r="N36" s="50"/>
      <c r="O36" s="53">
        <f>Ordini!$K36+Ordini!$J36+Ordini!$L36</f>
        <v>15.279</v>
      </c>
      <c r="P36" s="53">
        <f>Ordini!$I36-Ordini!$O36</f>
        <v>1.9909999999999997</v>
      </c>
      <c r="Q36" s="50" t="str">
        <f>IF(Ordini!$P36&lt;0,"DA EVITARE","OK")</f>
        <v>OK</v>
      </c>
      <c r="R36" s="50"/>
    </row>
    <row r="37" spans="1:18" s="55" customFormat="1" x14ac:dyDescent="0.25">
      <c r="A37" s="56" t="s">
        <v>89</v>
      </c>
      <c r="B37" s="57" t="s">
        <v>110</v>
      </c>
      <c r="C37" s="57" t="s">
        <v>20</v>
      </c>
      <c r="D37" s="57" t="s">
        <v>143</v>
      </c>
      <c r="E37" s="57" t="s">
        <v>46</v>
      </c>
      <c r="F37" s="58">
        <v>1</v>
      </c>
      <c r="G37" s="60">
        <v>25.93</v>
      </c>
      <c r="H37" s="59">
        <v>0</v>
      </c>
      <c r="I37" s="60">
        <f>Ordini!$G37/(1+Ordini!$H37)</f>
        <v>25.93</v>
      </c>
      <c r="J37" s="60">
        <v>0</v>
      </c>
      <c r="K37" s="60">
        <v>10.82</v>
      </c>
      <c r="L37" s="60">
        <v>4.7699999999999996</v>
      </c>
      <c r="M37" s="58" t="s">
        <v>22</v>
      </c>
      <c r="N37" s="58"/>
      <c r="O37" s="61">
        <f>Ordini!$K37+Ordini!$J37+Ordini!$L37</f>
        <v>15.59</v>
      </c>
      <c r="P37" s="61">
        <f>Ordini!$I37-Ordini!$O37</f>
        <v>10.34</v>
      </c>
      <c r="Q37" s="58" t="str">
        <f>IF(Ordini!$P37&lt;0,"DA EVITARE","OK")</f>
        <v>OK</v>
      </c>
      <c r="R37" s="58"/>
    </row>
    <row r="38" spans="1:18" s="62" customFormat="1" x14ac:dyDescent="0.25">
      <c r="A38" s="48" t="s">
        <v>90</v>
      </c>
      <c r="B38" s="49" t="s">
        <v>110</v>
      </c>
      <c r="C38" s="49" t="s">
        <v>20</v>
      </c>
      <c r="D38" s="49" t="s">
        <v>144</v>
      </c>
      <c r="E38" s="49" t="s">
        <v>394</v>
      </c>
      <c r="F38" s="50">
        <v>1</v>
      </c>
      <c r="G38" s="52">
        <v>17.27</v>
      </c>
      <c r="H38" s="51">
        <v>0</v>
      </c>
      <c r="I38" s="52">
        <f>Ordini!$G38/(1+Ordini!$H38)</f>
        <v>17.27</v>
      </c>
      <c r="J38" s="52">
        <v>0</v>
      </c>
      <c r="K38" s="52">
        <v>10.918999999999999</v>
      </c>
      <c r="L38" s="52">
        <v>4.3600000000000003</v>
      </c>
      <c r="M38" s="50" t="s">
        <v>22</v>
      </c>
      <c r="N38" s="50"/>
      <c r="O38" s="53">
        <f>Ordini!$K38+Ordini!$J38+Ordini!$L38</f>
        <v>15.279</v>
      </c>
      <c r="P38" s="53">
        <f>Ordini!$I38-Ordini!$O38</f>
        <v>1.9909999999999997</v>
      </c>
      <c r="Q38" s="50" t="str">
        <f>IF(Ordini!$P38&lt;0,"DA EVITARE","OK")</f>
        <v>OK</v>
      </c>
      <c r="R38" s="50"/>
    </row>
    <row r="39" spans="1:18" s="55" customFormat="1" x14ac:dyDescent="0.25">
      <c r="A39" s="56" t="s">
        <v>90</v>
      </c>
      <c r="B39" s="57" t="s">
        <v>110</v>
      </c>
      <c r="C39" s="57" t="s">
        <v>20</v>
      </c>
      <c r="D39" s="57" t="s">
        <v>145</v>
      </c>
      <c r="E39" s="57" t="s">
        <v>395</v>
      </c>
      <c r="F39" s="58">
        <v>1</v>
      </c>
      <c r="G39" s="60">
        <v>13.59</v>
      </c>
      <c r="H39" s="59">
        <v>0</v>
      </c>
      <c r="I39" s="60">
        <f>Ordini!$G39/(1+Ordini!$H39)</f>
        <v>13.59</v>
      </c>
      <c r="J39" s="60">
        <v>0</v>
      </c>
      <c r="K39" s="60">
        <v>5.8559999999999999</v>
      </c>
      <c r="L39" s="60">
        <v>4.3600000000000003</v>
      </c>
      <c r="M39" s="58" t="s">
        <v>22</v>
      </c>
      <c r="N39" s="58"/>
      <c r="O39" s="61">
        <f>Ordini!$K39+Ordini!$J39+Ordini!$L39</f>
        <v>10.216000000000001</v>
      </c>
      <c r="P39" s="61">
        <f>Ordini!$I39-Ordini!$O39</f>
        <v>3.3739999999999988</v>
      </c>
      <c r="Q39" s="58" t="str">
        <f>IF(Ordini!$P39&lt;0,"DA EVITARE","OK")</f>
        <v>OK</v>
      </c>
      <c r="R39" s="58"/>
    </row>
    <row r="40" spans="1:18" s="62" customFormat="1" x14ac:dyDescent="0.25">
      <c r="A40" s="48" t="s">
        <v>90</v>
      </c>
      <c r="B40" s="49" t="s">
        <v>110</v>
      </c>
      <c r="C40" s="49" t="s">
        <v>20</v>
      </c>
      <c r="D40" s="49" t="s">
        <v>146</v>
      </c>
      <c r="E40" s="49" t="s">
        <v>347</v>
      </c>
      <c r="F40" s="50">
        <v>1</v>
      </c>
      <c r="G40" s="52">
        <v>13.93</v>
      </c>
      <c r="H40" s="51">
        <v>0</v>
      </c>
      <c r="I40" s="52">
        <f>Ordini!$G40/(1+Ordini!$H40)</f>
        <v>13.93</v>
      </c>
      <c r="J40" s="52">
        <v>0</v>
      </c>
      <c r="K40" s="52">
        <v>6</v>
      </c>
      <c r="L40" s="52">
        <v>4.7699999999999996</v>
      </c>
      <c r="M40" s="50" t="s">
        <v>22</v>
      </c>
      <c r="N40" s="50"/>
      <c r="O40" s="53">
        <f>Ordini!$K40+Ordini!$J40+Ordini!$L40</f>
        <v>10.77</v>
      </c>
      <c r="P40" s="53">
        <f>Ordini!$I40-Ordini!$O40</f>
        <v>3.16</v>
      </c>
      <c r="Q40" s="50" t="str">
        <f>IF(Ordini!$P40&lt;0,"DA EVITARE","OK")</f>
        <v>OK</v>
      </c>
      <c r="R40" s="50"/>
    </row>
    <row r="41" spans="1:18" s="55" customFormat="1" x14ac:dyDescent="0.25">
      <c r="A41" s="56" t="s">
        <v>90</v>
      </c>
      <c r="B41" s="57" t="s">
        <v>110</v>
      </c>
      <c r="C41" s="57" t="s">
        <v>20</v>
      </c>
      <c r="D41" s="57" t="s">
        <v>147</v>
      </c>
      <c r="E41" s="57" t="s">
        <v>340</v>
      </c>
      <c r="F41" s="58">
        <v>1</v>
      </c>
      <c r="G41" s="60">
        <v>54.19</v>
      </c>
      <c r="H41" s="59">
        <v>0</v>
      </c>
      <c r="I41" s="60">
        <f>Ordini!$G41/(1+Ordini!$H41)</f>
        <v>54.19</v>
      </c>
      <c r="J41" s="60">
        <v>0</v>
      </c>
      <c r="K41" s="60">
        <v>42.541399999999996</v>
      </c>
      <c r="L41" s="60">
        <v>12.5</v>
      </c>
      <c r="M41" s="58" t="s">
        <v>22</v>
      </c>
      <c r="N41" s="58"/>
      <c r="O41" s="61">
        <f>Ordini!$K41+Ordini!$J41+Ordini!$L41</f>
        <v>55.041399999999996</v>
      </c>
      <c r="P41" s="61">
        <f>Ordini!$I41-Ordini!$O41</f>
        <v>-0.85139999999999816</v>
      </c>
      <c r="Q41" s="58" t="str">
        <f>IF(Ordini!$P41&lt;0,"DA EVITARE","OK")</f>
        <v>DA EVITARE</v>
      </c>
      <c r="R41" s="58"/>
    </row>
    <row r="42" spans="1:18" s="62" customFormat="1" x14ac:dyDescent="0.25">
      <c r="A42" s="48">
        <v>46123</v>
      </c>
      <c r="B42" s="49" t="s">
        <v>363</v>
      </c>
      <c r="C42" s="49" t="s">
        <v>20</v>
      </c>
      <c r="D42" s="49" t="s">
        <v>371</v>
      </c>
      <c r="E42" s="49" t="s">
        <v>385</v>
      </c>
      <c r="F42" s="50">
        <v>1</v>
      </c>
      <c r="G42" s="52">
        <v>8.57</v>
      </c>
      <c r="H42" s="51">
        <v>0</v>
      </c>
      <c r="I42" s="52">
        <f>Ordini!$G42/(1+Ordini!$H42)</f>
        <v>8.57</v>
      </c>
      <c r="J42" s="52">
        <v>0.86</v>
      </c>
      <c r="K42" s="52">
        <v>0.54900000000000004</v>
      </c>
      <c r="L42" s="52">
        <v>4.3600000000000003</v>
      </c>
      <c r="M42" s="50" t="s">
        <v>22</v>
      </c>
      <c r="N42" s="50"/>
      <c r="O42" s="53">
        <f>Ordini!$K42+Ordini!$J42+Ordini!$L42</f>
        <v>5.7690000000000001</v>
      </c>
      <c r="P42" s="53">
        <f>Ordini!$I42-Ordini!$O42</f>
        <v>2.8010000000000002</v>
      </c>
      <c r="Q42" s="50" t="str">
        <f>IF(Ordini!$P42&lt;0,"DA EVITARE","OK")</f>
        <v>OK</v>
      </c>
      <c r="R42" s="50"/>
    </row>
    <row r="43" spans="1:18" s="55" customFormat="1" x14ac:dyDescent="0.25">
      <c r="A43" s="56" t="s">
        <v>91</v>
      </c>
      <c r="B43" s="57" t="s">
        <v>109</v>
      </c>
      <c r="C43" s="57" t="s">
        <v>20</v>
      </c>
      <c r="D43" s="57" t="s">
        <v>148</v>
      </c>
      <c r="E43" s="57" t="s">
        <v>344</v>
      </c>
      <c r="F43" s="58">
        <v>1</v>
      </c>
      <c r="G43" s="60">
        <v>44.34</v>
      </c>
      <c r="H43" s="59">
        <v>0</v>
      </c>
      <c r="I43" s="60">
        <f>Ordini!$G43/(1+Ordini!$H43)</f>
        <v>44.34</v>
      </c>
      <c r="J43" s="60">
        <v>8.35</v>
      </c>
      <c r="K43" s="60">
        <v>28.852999999999998</v>
      </c>
      <c r="L43" s="60">
        <v>4.8499999999999996</v>
      </c>
      <c r="M43" s="58" t="s">
        <v>22</v>
      </c>
      <c r="N43" s="58"/>
      <c r="O43" s="61">
        <f>Ordini!$K43+Ordini!$J43+Ordini!$L43</f>
        <v>42.052999999999997</v>
      </c>
      <c r="P43" s="61">
        <f>Ordini!$I43-Ordini!$O43</f>
        <v>2.2870000000000061</v>
      </c>
      <c r="Q43" s="58" t="str">
        <f>IF(Ordini!$P43&lt;0,"DA EVITARE","OK")</f>
        <v>OK</v>
      </c>
      <c r="R43" s="58"/>
    </row>
    <row r="44" spans="1:18" s="62" customFormat="1" x14ac:dyDescent="0.25">
      <c r="A44" s="48" t="s">
        <v>91</v>
      </c>
      <c r="B44" s="49" t="s">
        <v>110</v>
      </c>
      <c r="C44" s="49" t="s">
        <v>20</v>
      </c>
      <c r="D44" s="49" t="s">
        <v>149</v>
      </c>
      <c r="E44" s="49" t="s">
        <v>395</v>
      </c>
      <c r="F44" s="50">
        <v>1</v>
      </c>
      <c r="G44" s="52">
        <v>13.8</v>
      </c>
      <c r="H44" s="51">
        <v>0</v>
      </c>
      <c r="I44" s="52">
        <f>Ordini!$G44/(1+Ordini!$H44)</f>
        <v>13.8</v>
      </c>
      <c r="J44" s="52">
        <v>0</v>
      </c>
      <c r="K44" s="52">
        <v>5.8559999999999999</v>
      </c>
      <c r="L44" s="52">
        <v>4.3600000000000003</v>
      </c>
      <c r="M44" s="50" t="s">
        <v>22</v>
      </c>
      <c r="N44" s="50"/>
      <c r="O44" s="53">
        <f>Ordini!$K44+Ordini!$J44+Ordini!$L44</f>
        <v>10.216000000000001</v>
      </c>
      <c r="P44" s="53">
        <f>Ordini!$I44-Ordini!$O44</f>
        <v>3.5839999999999996</v>
      </c>
      <c r="Q44" s="50" t="str">
        <f>IF(Ordini!$P44&lt;0,"DA EVITARE","OK")</f>
        <v>OK</v>
      </c>
      <c r="R44" s="50"/>
    </row>
    <row r="45" spans="1:18" s="55" customFormat="1" x14ac:dyDescent="0.25">
      <c r="A45" s="56" t="s">
        <v>91</v>
      </c>
      <c r="B45" s="57" t="s">
        <v>110</v>
      </c>
      <c r="C45" s="57" t="s">
        <v>20</v>
      </c>
      <c r="D45" s="57" t="s">
        <v>150</v>
      </c>
      <c r="E45" s="57" t="s">
        <v>340</v>
      </c>
      <c r="F45" s="58">
        <v>1</v>
      </c>
      <c r="G45" s="60">
        <v>54.19</v>
      </c>
      <c r="H45" s="59">
        <v>0</v>
      </c>
      <c r="I45" s="60">
        <f>Ordini!$G45/(1+Ordini!$H45)</f>
        <v>54.19</v>
      </c>
      <c r="J45" s="60">
        <v>0</v>
      </c>
      <c r="K45" s="60">
        <v>42.541399999999996</v>
      </c>
      <c r="L45" s="60">
        <v>12.5</v>
      </c>
      <c r="M45" s="58" t="s">
        <v>22</v>
      </c>
      <c r="N45" s="58"/>
      <c r="O45" s="61">
        <f>Ordini!$K45+Ordini!$J45+Ordini!$L45</f>
        <v>55.041399999999996</v>
      </c>
      <c r="P45" s="61">
        <f>Ordini!$I45-Ordini!$O45</f>
        <v>-0.85139999999999816</v>
      </c>
      <c r="Q45" s="58" t="str">
        <f>IF(Ordini!$P45&lt;0,"DA EVITARE","OK")</f>
        <v>DA EVITARE</v>
      </c>
      <c r="R45" s="58"/>
    </row>
    <row r="46" spans="1:18" s="62" customFormat="1" x14ac:dyDescent="0.25">
      <c r="A46" s="48" t="s">
        <v>91</v>
      </c>
      <c r="B46" s="49" t="s">
        <v>111</v>
      </c>
      <c r="C46" s="49" t="s">
        <v>20</v>
      </c>
      <c r="D46" s="49" t="s">
        <v>151</v>
      </c>
      <c r="E46" s="49" t="s">
        <v>79</v>
      </c>
      <c r="F46" s="50">
        <v>1</v>
      </c>
      <c r="G46" s="52">
        <v>55</v>
      </c>
      <c r="H46" s="51">
        <v>0</v>
      </c>
      <c r="I46" s="52">
        <f>Ordini!$G46/(1+Ordini!$H46)</f>
        <v>55</v>
      </c>
      <c r="J46" s="52">
        <v>5.2200000000000006</v>
      </c>
      <c r="K46" s="52">
        <v>24.03</v>
      </c>
      <c r="L46" s="52">
        <v>8.4</v>
      </c>
      <c r="M46" s="50" t="s">
        <v>22</v>
      </c>
      <c r="N46" s="50"/>
      <c r="O46" s="53">
        <f>Ordini!$K46+Ordini!$J46+Ordini!$L46</f>
        <v>37.65</v>
      </c>
      <c r="P46" s="53">
        <f>Ordini!$I46-Ordini!$O46</f>
        <v>17.350000000000001</v>
      </c>
      <c r="Q46" s="50" t="str">
        <f>IF(Ordini!$P46&lt;0,"DA EVITARE","OK")</f>
        <v>OK</v>
      </c>
      <c r="R46" s="50"/>
    </row>
    <row r="47" spans="1:18" s="55" customFormat="1" x14ac:dyDescent="0.25">
      <c r="A47" s="56">
        <v>46124</v>
      </c>
      <c r="B47" s="57" t="s">
        <v>363</v>
      </c>
      <c r="C47" s="57" t="s">
        <v>20</v>
      </c>
      <c r="D47" s="57" t="s">
        <v>372</v>
      </c>
      <c r="E47" s="57" t="s">
        <v>386</v>
      </c>
      <c r="F47" s="58">
        <v>1</v>
      </c>
      <c r="G47" s="60">
        <v>14.51</v>
      </c>
      <c r="H47" s="59">
        <v>0</v>
      </c>
      <c r="I47" s="60">
        <f>Ordini!$G47/(1+Ordini!$H47)</f>
        <v>14.51</v>
      </c>
      <c r="J47" s="60">
        <v>2.1800000000000002</v>
      </c>
      <c r="K47" s="60">
        <v>4.88</v>
      </c>
      <c r="L47" s="60">
        <v>4.3600000000000003</v>
      </c>
      <c r="M47" s="58" t="s">
        <v>22</v>
      </c>
      <c r="N47" s="58"/>
      <c r="O47" s="61">
        <f>Ordini!$K47+Ordini!$J47+Ordini!$L47</f>
        <v>11.420000000000002</v>
      </c>
      <c r="P47" s="61">
        <f>Ordini!$I47-Ordini!$O47</f>
        <v>3.0899999999999981</v>
      </c>
      <c r="Q47" s="58" t="str">
        <f>IF(Ordini!$P47&lt;0,"DA EVITARE","OK")</f>
        <v>OK</v>
      </c>
      <c r="R47" s="58"/>
    </row>
    <row r="48" spans="1:18" s="62" customFormat="1" x14ac:dyDescent="0.25">
      <c r="A48" s="48" t="s">
        <v>92</v>
      </c>
      <c r="B48" s="49" t="s">
        <v>109</v>
      </c>
      <c r="C48" s="49" t="s">
        <v>20</v>
      </c>
      <c r="D48" s="49" t="s">
        <v>152</v>
      </c>
      <c r="E48" s="49" t="s">
        <v>349</v>
      </c>
      <c r="F48" s="50">
        <v>2</v>
      </c>
      <c r="G48" s="52">
        <v>29.4</v>
      </c>
      <c r="H48" s="51">
        <v>0</v>
      </c>
      <c r="I48" s="52">
        <f>Ordini!$G48/(1+Ordini!$H48)</f>
        <v>29.4</v>
      </c>
      <c r="J48" s="52">
        <v>4.79</v>
      </c>
      <c r="K48" s="52">
        <v>14.8352</v>
      </c>
      <c r="L48" s="52">
        <v>4.3600000000000003</v>
      </c>
      <c r="M48" s="50" t="s">
        <v>22</v>
      </c>
      <c r="N48" s="50"/>
      <c r="O48" s="53">
        <f>Ordini!$K48+Ordini!$J48+Ordini!$L48</f>
        <v>23.985199999999999</v>
      </c>
      <c r="P48" s="53">
        <f>Ordini!$I48-Ordini!$O48</f>
        <v>5.4147999999999996</v>
      </c>
      <c r="Q48" s="50" t="str">
        <f>IF(Ordini!$P48&lt;0,"DA EVITARE","OK")</f>
        <v>OK</v>
      </c>
      <c r="R48" s="50"/>
    </row>
    <row r="49" spans="1:18" s="55" customFormat="1" x14ac:dyDescent="0.25">
      <c r="A49" s="56" t="s">
        <v>92</v>
      </c>
      <c r="B49" s="57" t="s">
        <v>109</v>
      </c>
      <c r="C49" s="57" t="s">
        <v>20</v>
      </c>
      <c r="D49" s="57" t="s">
        <v>153</v>
      </c>
      <c r="E49" s="57" t="s">
        <v>346</v>
      </c>
      <c r="F49" s="58">
        <v>1</v>
      </c>
      <c r="G49" s="60">
        <v>13.42</v>
      </c>
      <c r="H49" s="59">
        <v>0</v>
      </c>
      <c r="I49" s="60">
        <f>Ordini!$G49/(1+Ordini!$H49)</f>
        <v>13.42</v>
      </c>
      <c r="J49" s="60">
        <v>2.52</v>
      </c>
      <c r="K49" s="60">
        <v>2.7815999999999996</v>
      </c>
      <c r="L49" s="60">
        <v>4.3600000000000003</v>
      </c>
      <c r="M49" s="58" t="s">
        <v>22</v>
      </c>
      <c r="N49" s="58"/>
      <c r="O49" s="61">
        <f>Ordini!$K49+Ordini!$J49+Ordini!$L49</f>
        <v>9.6616</v>
      </c>
      <c r="P49" s="61">
        <f>Ordini!$I49-Ordini!$O49</f>
        <v>3.7584</v>
      </c>
      <c r="Q49" s="58" t="str">
        <f>IF(Ordini!$P49&lt;0,"DA EVITARE","OK")</f>
        <v>OK</v>
      </c>
      <c r="R49" s="58"/>
    </row>
    <row r="50" spans="1:18" s="62" customFormat="1" x14ac:dyDescent="0.25">
      <c r="A50" s="48">
        <v>46127</v>
      </c>
      <c r="B50" s="49" t="s">
        <v>363</v>
      </c>
      <c r="C50" s="49" t="s">
        <v>20</v>
      </c>
      <c r="D50" s="49" t="s">
        <v>373</v>
      </c>
      <c r="E50" s="49" t="s">
        <v>387</v>
      </c>
      <c r="F50" s="50">
        <v>2</v>
      </c>
      <c r="G50" s="52">
        <v>183.96</v>
      </c>
      <c r="H50" s="51">
        <v>0</v>
      </c>
      <c r="I50" s="52">
        <f>Ordini!$G50/(1+Ordini!$H50)</f>
        <v>183.96</v>
      </c>
      <c r="J50" s="52">
        <v>22.08</v>
      </c>
      <c r="K50" s="52">
        <v>106.43279999999999</v>
      </c>
      <c r="L50" s="52">
        <v>23.24</v>
      </c>
      <c r="M50" s="50" t="s">
        <v>22</v>
      </c>
      <c r="N50" s="50"/>
      <c r="O50" s="53">
        <f>Ordini!$K50+Ordini!$J50+Ordini!$L50</f>
        <v>151.75279999999998</v>
      </c>
      <c r="P50" s="53">
        <f>Ordini!$I50-Ordini!$O50</f>
        <v>32.207200000000029</v>
      </c>
      <c r="Q50" s="50" t="str">
        <f>IF(Ordini!$P50&lt;0,"DA EVITARE","OK")</f>
        <v>OK</v>
      </c>
      <c r="R50" s="50"/>
    </row>
    <row r="51" spans="1:18" s="55" customFormat="1" x14ac:dyDescent="0.25">
      <c r="A51" s="56" t="s">
        <v>93</v>
      </c>
      <c r="B51" s="57" t="s">
        <v>109</v>
      </c>
      <c r="C51" s="57" t="s">
        <v>20</v>
      </c>
      <c r="D51" s="57" t="s">
        <v>154</v>
      </c>
      <c r="E51" s="57" t="s">
        <v>350</v>
      </c>
      <c r="F51" s="58">
        <v>1</v>
      </c>
      <c r="G51" s="60">
        <v>17.61</v>
      </c>
      <c r="H51" s="59">
        <v>0</v>
      </c>
      <c r="I51" s="60">
        <f>Ordini!$G51/(1+Ordini!$H51)</f>
        <v>17.61</v>
      </c>
      <c r="J51" s="60">
        <v>1.77</v>
      </c>
      <c r="K51" s="60">
        <v>5.819399999999999</v>
      </c>
      <c r="L51" s="60">
        <v>4.3600000000000003</v>
      </c>
      <c r="M51" s="58" t="s">
        <v>22</v>
      </c>
      <c r="N51" s="58"/>
      <c r="O51" s="61">
        <f>Ordini!$K51+Ordini!$J51+Ordini!$L51</f>
        <v>11.949400000000001</v>
      </c>
      <c r="P51" s="61">
        <f>Ordini!$I51-Ordini!$O51</f>
        <v>5.6605999999999987</v>
      </c>
      <c r="Q51" s="58" t="str">
        <f>IF(Ordini!$P51&lt;0,"DA EVITARE","OK")</f>
        <v>OK</v>
      </c>
      <c r="R51" s="58"/>
    </row>
    <row r="52" spans="1:18" s="62" customFormat="1" x14ac:dyDescent="0.25">
      <c r="A52" s="48" t="s">
        <v>93</v>
      </c>
      <c r="B52" s="49" t="s">
        <v>109</v>
      </c>
      <c r="C52" s="49" t="s">
        <v>20</v>
      </c>
      <c r="D52" s="49" t="s">
        <v>155</v>
      </c>
      <c r="E52" s="49" t="s">
        <v>348</v>
      </c>
      <c r="F52" s="50">
        <v>1</v>
      </c>
      <c r="G52" s="52">
        <v>28.31</v>
      </c>
      <c r="H52" s="51">
        <v>0</v>
      </c>
      <c r="I52" s="52">
        <f>Ordini!$G52/(1+Ordini!$H52)</f>
        <v>28.31</v>
      </c>
      <c r="J52" s="52">
        <v>5.34</v>
      </c>
      <c r="K52" s="52">
        <v>1.3907999999999998</v>
      </c>
      <c r="L52" s="52">
        <v>4.3600000000000003</v>
      </c>
      <c r="M52" s="50" t="s">
        <v>22</v>
      </c>
      <c r="N52" s="50"/>
      <c r="O52" s="53">
        <f>Ordini!$K52+Ordini!$J52+Ordini!$L52</f>
        <v>11.0908</v>
      </c>
      <c r="P52" s="53">
        <f>Ordini!$I52-Ordini!$O52</f>
        <v>17.219200000000001</v>
      </c>
      <c r="Q52" s="50" t="str">
        <f>IF(Ordini!$P52&lt;0,"DA EVITARE","OK")</f>
        <v>OK</v>
      </c>
      <c r="R52" s="50"/>
    </row>
    <row r="53" spans="1:18" s="55" customFormat="1" x14ac:dyDescent="0.25">
      <c r="A53" s="56" t="s">
        <v>93</v>
      </c>
      <c r="B53" s="57" t="s">
        <v>109</v>
      </c>
      <c r="C53" s="57" t="s">
        <v>20</v>
      </c>
      <c r="D53" s="57" t="s">
        <v>156</v>
      </c>
      <c r="E53" s="57" t="s">
        <v>351</v>
      </c>
      <c r="F53" s="58">
        <v>1</v>
      </c>
      <c r="G53" s="60">
        <v>27</v>
      </c>
      <c r="H53" s="59">
        <v>0</v>
      </c>
      <c r="I53" s="60">
        <f>Ordini!$G53/(1+Ordini!$H53)</f>
        <v>27</v>
      </c>
      <c r="J53" s="60">
        <v>5.08</v>
      </c>
      <c r="K53" s="60">
        <v>15.969799999999999</v>
      </c>
      <c r="L53" s="60">
        <v>4.7699999999999996</v>
      </c>
      <c r="M53" s="58" t="s">
        <v>22</v>
      </c>
      <c r="N53" s="58"/>
      <c r="O53" s="61">
        <f>Ordini!$K53+Ordini!$J53+Ordini!$L53</f>
        <v>25.819799999999997</v>
      </c>
      <c r="P53" s="61">
        <f>Ordini!$I53-Ordini!$O53</f>
        <v>1.1802000000000028</v>
      </c>
      <c r="Q53" s="58" t="str">
        <f>IF(Ordini!$P53&lt;0,"DA EVITARE","OK")</f>
        <v>OK</v>
      </c>
      <c r="R53" s="58"/>
    </row>
    <row r="54" spans="1:18" s="62" customFormat="1" x14ac:dyDescent="0.25">
      <c r="A54" s="48" t="s">
        <v>93</v>
      </c>
      <c r="B54" s="49" t="s">
        <v>109</v>
      </c>
      <c r="C54" s="49" t="s">
        <v>20</v>
      </c>
      <c r="D54" s="49" t="s">
        <v>157</v>
      </c>
      <c r="E54" s="49" t="s">
        <v>351</v>
      </c>
      <c r="F54" s="50">
        <v>2</v>
      </c>
      <c r="G54" s="52">
        <v>54</v>
      </c>
      <c r="H54" s="51">
        <v>0</v>
      </c>
      <c r="I54" s="52">
        <f>Ordini!$G54/(1+Ordini!$H54)</f>
        <v>54</v>
      </c>
      <c r="J54" s="52">
        <v>10.17</v>
      </c>
      <c r="K54" s="52">
        <v>31.939599999999999</v>
      </c>
      <c r="L54" s="52">
        <v>4.7699999999999996</v>
      </c>
      <c r="M54" s="50" t="s">
        <v>22</v>
      </c>
      <c r="N54" s="50"/>
      <c r="O54" s="53">
        <f>Ordini!$K54+Ordini!$J54+Ordini!$L54</f>
        <v>46.879599999999996</v>
      </c>
      <c r="P54" s="53">
        <f>Ordini!$I54-Ordini!$O54</f>
        <v>7.1204000000000036</v>
      </c>
      <c r="Q54" s="50" t="str">
        <f>IF(Ordini!$P54&lt;0,"DA EVITARE","OK")</f>
        <v>OK</v>
      </c>
      <c r="R54" s="50"/>
    </row>
    <row r="55" spans="1:18" s="55" customFormat="1" x14ac:dyDescent="0.25">
      <c r="A55" s="56" t="s">
        <v>94</v>
      </c>
      <c r="B55" s="57" t="s">
        <v>109</v>
      </c>
      <c r="C55" s="57" t="s">
        <v>20</v>
      </c>
      <c r="D55" s="57" t="s">
        <v>158</v>
      </c>
      <c r="E55" s="57" t="s">
        <v>343</v>
      </c>
      <c r="F55" s="58">
        <v>1</v>
      </c>
      <c r="G55" s="60">
        <v>23.5</v>
      </c>
      <c r="H55" s="59">
        <v>0</v>
      </c>
      <c r="I55" s="60">
        <f>Ordini!$G55/(1+Ordini!$H55)</f>
        <v>23.5</v>
      </c>
      <c r="J55" s="60">
        <v>3.85</v>
      </c>
      <c r="K55" s="60">
        <v>10.504199999999999</v>
      </c>
      <c r="L55" s="60">
        <v>4.3600000000000003</v>
      </c>
      <c r="M55" s="58" t="s">
        <v>22</v>
      </c>
      <c r="N55" s="58"/>
      <c r="O55" s="61">
        <f>Ordini!$K55+Ordini!$J55+Ordini!$L55</f>
        <v>18.714199999999998</v>
      </c>
      <c r="P55" s="61">
        <f>Ordini!$I55-Ordini!$O55</f>
        <v>4.7858000000000018</v>
      </c>
      <c r="Q55" s="58" t="str">
        <f>IF(Ordini!$P55&lt;0,"DA EVITARE","OK")</f>
        <v>OK</v>
      </c>
      <c r="R55" s="58"/>
    </row>
    <row r="56" spans="1:18" s="62" customFormat="1" x14ac:dyDescent="0.25">
      <c r="A56" s="48" t="s">
        <v>94</v>
      </c>
      <c r="B56" s="49" t="s">
        <v>109</v>
      </c>
      <c r="C56" s="49" t="s">
        <v>20</v>
      </c>
      <c r="D56" s="49" t="s">
        <v>159</v>
      </c>
      <c r="E56" s="49" t="s">
        <v>344</v>
      </c>
      <c r="F56" s="50">
        <v>1</v>
      </c>
      <c r="G56" s="52">
        <v>44.34</v>
      </c>
      <c r="H56" s="51">
        <v>0</v>
      </c>
      <c r="I56" s="52">
        <f>Ordini!$G56/(1+Ordini!$H56)</f>
        <v>44.34</v>
      </c>
      <c r="J56" s="52">
        <v>8.3699999999999992</v>
      </c>
      <c r="K56" s="52">
        <v>28.852999999999998</v>
      </c>
      <c r="L56" s="52">
        <v>4.8499999999999996</v>
      </c>
      <c r="M56" s="50" t="s">
        <v>22</v>
      </c>
      <c r="N56" s="50"/>
      <c r="O56" s="53">
        <f>Ordini!$K56+Ordini!$J56+Ordini!$L56</f>
        <v>42.073</v>
      </c>
      <c r="P56" s="53">
        <f>Ordini!$I56-Ordini!$O56</f>
        <v>2.267000000000003</v>
      </c>
      <c r="Q56" s="50" t="str">
        <f>IF(Ordini!$P56&lt;0,"DA EVITARE","OK")</f>
        <v>OK</v>
      </c>
      <c r="R56" s="50"/>
    </row>
    <row r="57" spans="1:18" s="55" customFormat="1" x14ac:dyDescent="0.25">
      <c r="A57" s="56" t="s">
        <v>94</v>
      </c>
      <c r="B57" s="57" t="s">
        <v>109</v>
      </c>
      <c r="C57" s="57" t="s">
        <v>20</v>
      </c>
      <c r="D57" s="57" t="s">
        <v>160</v>
      </c>
      <c r="E57" s="57" t="s">
        <v>74</v>
      </c>
      <c r="F57" s="58">
        <v>1</v>
      </c>
      <c r="G57" s="60">
        <v>99.99</v>
      </c>
      <c r="H57" s="59">
        <v>0</v>
      </c>
      <c r="I57" s="60">
        <f>Ordini!$G57/(1+Ordini!$H57)</f>
        <v>99.99</v>
      </c>
      <c r="J57" s="60">
        <v>18.850000000000001</v>
      </c>
      <c r="K57" s="60">
        <v>50</v>
      </c>
      <c r="L57" s="60">
        <v>8.8000000000000007</v>
      </c>
      <c r="M57" s="58" t="s">
        <v>22</v>
      </c>
      <c r="N57" s="58"/>
      <c r="O57" s="61">
        <f>Ordini!$K57+Ordini!$J57+Ordini!$L57</f>
        <v>77.649999999999991</v>
      </c>
      <c r="P57" s="61">
        <f>Ordini!$I57-Ordini!$O57</f>
        <v>22.340000000000003</v>
      </c>
      <c r="Q57" s="58" t="str">
        <f>IF(Ordini!$P57&lt;0,"DA EVITARE","OK")</f>
        <v>OK</v>
      </c>
      <c r="R57" s="58"/>
    </row>
    <row r="58" spans="1:18" s="62" customFormat="1" x14ac:dyDescent="0.25">
      <c r="A58" s="48" t="s">
        <v>94</v>
      </c>
      <c r="B58" s="49" t="s">
        <v>109</v>
      </c>
      <c r="C58" s="49" t="s">
        <v>20</v>
      </c>
      <c r="D58" s="49" t="s">
        <v>161</v>
      </c>
      <c r="E58" s="49" t="s">
        <v>65</v>
      </c>
      <c r="F58" s="50">
        <v>1</v>
      </c>
      <c r="G58" s="52">
        <v>68.989999999999995</v>
      </c>
      <c r="H58" s="51">
        <v>0</v>
      </c>
      <c r="I58" s="52">
        <f>Ordini!$G58/(1+Ordini!$H58)</f>
        <v>68.989999999999995</v>
      </c>
      <c r="J58" s="52">
        <v>13.01</v>
      </c>
      <c r="K58" s="52">
        <v>33.78</v>
      </c>
      <c r="L58" s="52">
        <v>5.87</v>
      </c>
      <c r="M58" s="50" t="s">
        <v>22</v>
      </c>
      <c r="N58" s="50"/>
      <c r="O58" s="53">
        <f>Ordini!$K58+Ordini!$J58+Ordini!$L58</f>
        <v>52.66</v>
      </c>
      <c r="P58" s="53">
        <f>Ordini!$I58-Ordini!$O58</f>
        <v>16.329999999999998</v>
      </c>
      <c r="Q58" s="50" t="str">
        <f>IF(Ordini!$P58&lt;0,"DA EVITARE","OK")</f>
        <v>OK</v>
      </c>
      <c r="R58" s="50"/>
    </row>
    <row r="59" spans="1:18" s="55" customFormat="1" x14ac:dyDescent="0.25">
      <c r="A59" s="56" t="s">
        <v>94</v>
      </c>
      <c r="B59" s="57" t="s">
        <v>110</v>
      </c>
      <c r="C59" s="57" t="s">
        <v>20</v>
      </c>
      <c r="D59" s="57" t="s">
        <v>162</v>
      </c>
      <c r="E59" s="57" t="s">
        <v>79</v>
      </c>
      <c r="F59" s="58">
        <v>1</v>
      </c>
      <c r="G59" s="60">
        <v>49.95</v>
      </c>
      <c r="H59" s="59">
        <v>0</v>
      </c>
      <c r="I59" s="60">
        <f>Ordini!$G59/(1+Ordini!$H59)</f>
        <v>49.95</v>
      </c>
      <c r="J59" s="60">
        <v>0</v>
      </c>
      <c r="K59" s="60">
        <v>24.03</v>
      </c>
      <c r="L59" s="60">
        <v>8.4</v>
      </c>
      <c r="M59" s="58" t="s">
        <v>22</v>
      </c>
      <c r="N59" s="58"/>
      <c r="O59" s="61">
        <f>Ordini!$K59+Ordini!$J59+Ordini!$L59</f>
        <v>32.43</v>
      </c>
      <c r="P59" s="61">
        <f>Ordini!$I59-Ordini!$O59</f>
        <v>17.520000000000003</v>
      </c>
      <c r="Q59" s="58" t="str">
        <f>IF(Ordini!$P59&lt;0,"DA EVITARE","OK")</f>
        <v>OK</v>
      </c>
      <c r="R59" s="58"/>
    </row>
    <row r="60" spans="1:18" s="62" customFormat="1" x14ac:dyDescent="0.25">
      <c r="A60" s="48" t="s">
        <v>94</v>
      </c>
      <c r="B60" s="49" t="s">
        <v>111</v>
      </c>
      <c r="C60" s="49" t="s">
        <v>20</v>
      </c>
      <c r="D60" s="49" t="s">
        <v>163</v>
      </c>
      <c r="E60" s="49" t="s">
        <v>74</v>
      </c>
      <c r="F60" s="50">
        <v>1</v>
      </c>
      <c r="G60" s="52">
        <v>94.99</v>
      </c>
      <c r="H60" s="51">
        <v>0</v>
      </c>
      <c r="I60" s="52">
        <f>Ordini!$G60/(1+Ordini!$H60)</f>
        <v>94.99</v>
      </c>
      <c r="J60" s="52">
        <v>8.75</v>
      </c>
      <c r="K60" s="52">
        <v>50</v>
      </c>
      <c r="L60" s="52">
        <v>8.8000000000000007</v>
      </c>
      <c r="M60" s="50" t="s">
        <v>22</v>
      </c>
      <c r="N60" s="50"/>
      <c r="O60" s="53">
        <f>Ordini!$K60+Ordini!$J60+Ordini!$L60</f>
        <v>67.55</v>
      </c>
      <c r="P60" s="53">
        <f>Ordini!$I60-Ordini!$O60</f>
        <v>27.439999999999998</v>
      </c>
      <c r="Q60" s="50" t="str">
        <f>IF(Ordini!$P60&lt;0,"DA EVITARE","OK")</f>
        <v>OK</v>
      </c>
      <c r="R60" s="50"/>
    </row>
    <row r="61" spans="1:18" s="55" customFormat="1" x14ac:dyDescent="0.25">
      <c r="A61" s="56">
        <v>46128</v>
      </c>
      <c r="B61" s="57" t="s">
        <v>365</v>
      </c>
      <c r="C61" s="57" t="s">
        <v>368</v>
      </c>
      <c r="D61" s="57" t="s">
        <v>374</v>
      </c>
      <c r="E61" s="57" t="s">
        <v>388</v>
      </c>
      <c r="F61" s="58">
        <v>1</v>
      </c>
      <c r="G61" s="60">
        <v>224.99</v>
      </c>
      <c r="H61" s="59">
        <v>0</v>
      </c>
      <c r="I61" s="60">
        <f>Ordini!$G61/(1+Ordini!$H61)</f>
        <v>224.99</v>
      </c>
      <c r="J61" s="60">
        <v>29.95</v>
      </c>
      <c r="K61" s="60">
        <v>136.67660000000001</v>
      </c>
      <c r="L61" s="60">
        <v>9.61</v>
      </c>
      <c r="M61" s="58" t="s">
        <v>22</v>
      </c>
      <c r="N61" s="58"/>
      <c r="O61" s="61">
        <f>Ordini!$K61+Ordini!$J61+Ordini!$L61</f>
        <v>176.23660000000001</v>
      </c>
      <c r="P61" s="61">
        <f>Ordini!$I61-Ordini!$O61</f>
        <v>48.753399999999999</v>
      </c>
      <c r="Q61" s="58" t="str">
        <f>IF(Ordini!$P61&lt;0,"DA EVITARE","OK")</f>
        <v>OK</v>
      </c>
      <c r="R61" s="58"/>
    </row>
    <row r="62" spans="1:18" s="62" customFormat="1" x14ac:dyDescent="0.25">
      <c r="A62" s="48" t="s">
        <v>95</v>
      </c>
      <c r="B62" s="49" t="s">
        <v>109</v>
      </c>
      <c r="C62" s="49" t="s">
        <v>20</v>
      </c>
      <c r="D62" s="49" t="s">
        <v>164</v>
      </c>
      <c r="E62" s="49" t="s">
        <v>60</v>
      </c>
      <c r="F62" s="50">
        <v>1</v>
      </c>
      <c r="G62" s="52">
        <v>87.99</v>
      </c>
      <c r="H62" s="51">
        <v>0</v>
      </c>
      <c r="I62" s="52">
        <f>Ordini!$G62/(1+Ordini!$H62)</f>
        <v>87.99</v>
      </c>
      <c r="J62" s="52">
        <v>14.38</v>
      </c>
      <c r="K62" s="52">
        <v>39.76</v>
      </c>
      <c r="L62" s="52">
        <v>8.01</v>
      </c>
      <c r="M62" s="50" t="s">
        <v>22</v>
      </c>
      <c r="N62" s="50"/>
      <c r="O62" s="53">
        <f>Ordini!$K62+Ordini!$J62+Ordini!$L62</f>
        <v>62.15</v>
      </c>
      <c r="P62" s="53">
        <f>Ordini!$I62-Ordini!$O62</f>
        <v>25.839999999999996</v>
      </c>
      <c r="Q62" s="50" t="str">
        <f>IF(Ordini!$P62&lt;0,"DA EVITARE","OK")</f>
        <v>OK</v>
      </c>
      <c r="R62" s="50"/>
    </row>
    <row r="63" spans="1:18" s="55" customFormat="1" x14ac:dyDescent="0.25">
      <c r="A63" s="56" t="s">
        <v>95</v>
      </c>
      <c r="B63" s="57" t="s">
        <v>109</v>
      </c>
      <c r="C63" s="57" t="s">
        <v>20</v>
      </c>
      <c r="D63" s="57" t="s">
        <v>165</v>
      </c>
      <c r="E63" s="57" t="s">
        <v>78</v>
      </c>
      <c r="F63" s="58">
        <v>1</v>
      </c>
      <c r="G63" s="60">
        <v>39.99</v>
      </c>
      <c r="H63" s="59">
        <v>0</v>
      </c>
      <c r="I63" s="60">
        <f>Ordini!$G63/(1+Ordini!$H63)</f>
        <v>39.99</v>
      </c>
      <c r="J63" s="60">
        <v>7.54</v>
      </c>
      <c r="K63" s="60">
        <v>15.100000000000001</v>
      </c>
      <c r="L63" s="60">
        <v>4.8499999999999996</v>
      </c>
      <c r="M63" s="58" t="s">
        <v>22</v>
      </c>
      <c r="N63" s="58"/>
      <c r="O63" s="61">
        <f>Ordini!$K63+Ordini!$J63+Ordini!$L63</f>
        <v>27.490000000000002</v>
      </c>
      <c r="P63" s="61">
        <f>Ordini!$I63-Ordini!$O63</f>
        <v>12.5</v>
      </c>
      <c r="Q63" s="58" t="str">
        <f>IF(Ordini!$P63&lt;0,"DA EVITARE","OK")</f>
        <v>OK</v>
      </c>
      <c r="R63" s="58"/>
    </row>
    <row r="64" spans="1:18" s="62" customFormat="1" x14ac:dyDescent="0.25">
      <c r="A64" s="48" t="s">
        <v>95</v>
      </c>
      <c r="B64" s="49" t="s">
        <v>109</v>
      </c>
      <c r="C64" s="49" t="s">
        <v>20</v>
      </c>
      <c r="D64" s="49" t="s">
        <v>166</v>
      </c>
      <c r="E64" s="49" t="s">
        <v>78</v>
      </c>
      <c r="F64" s="50">
        <v>1</v>
      </c>
      <c r="G64" s="52">
        <v>39.99</v>
      </c>
      <c r="H64" s="51">
        <v>0</v>
      </c>
      <c r="I64" s="52">
        <f>Ordini!$G64/(1+Ordini!$H64)</f>
        <v>39.99</v>
      </c>
      <c r="J64" s="52">
        <v>7.54</v>
      </c>
      <c r="K64" s="52">
        <v>15.100000000000001</v>
      </c>
      <c r="L64" s="52">
        <v>4.8499999999999996</v>
      </c>
      <c r="M64" s="50" t="s">
        <v>22</v>
      </c>
      <c r="N64" s="50"/>
      <c r="O64" s="53">
        <f>Ordini!$K64+Ordini!$J64+Ordini!$L64</f>
        <v>27.490000000000002</v>
      </c>
      <c r="P64" s="53">
        <f>Ordini!$I64-Ordini!$O64</f>
        <v>12.5</v>
      </c>
      <c r="Q64" s="50" t="str">
        <f>IF(Ordini!$P64&lt;0,"DA EVITARE","OK")</f>
        <v>OK</v>
      </c>
      <c r="R64" s="50"/>
    </row>
    <row r="65" spans="1:18" s="55" customFormat="1" x14ac:dyDescent="0.25">
      <c r="A65" s="56" t="s">
        <v>95</v>
      </c>
      <c r="B65" s="57" t="s">
        <v>109</v>
      </c>
      <c r="C65" s="57" t="s">
        <v>20</v>
      </c>
      <c r="D65" s="57" t="s">
        <v>167</v>
      </c>
      <c r="E65" s="57" t="s">
        <v>78</v>
      </c>
      <c r="F65" s="58">
        <v>1</v>
      </c>
      <c r="G65" s="60">
        <v>39.99</v>
      </c>
      <c r="H65" s="59">
        <v>0</v>
      </c>
      <c r="I65" s="60">
        <f>Ordini!$G65/(1+Ordini!$H65)</f>
        <v>39.99</v>
      </c>
      <c r="J65" s="60">
        <v>7.54</v>
      </c>
      <c r="K65" s="60">
        <v>15.100000000000001</v>
      </c>
      <c r="L65" s="60">
        <v>4.8499999999999996</v>
      </c>
      <c r="M65" s="58" t="s">
        <v>22</v>
      </c>
      <c r="N65" s="58"/>
      <c r="O65" s="61">
        <f>Ordini!$K65+Ordini!$J65+Ordini!$L65</f>
        <v>27.490000000000002</v>
      </c>
      <c r="P65" s="61">
        <f>Ordini!$I65-Ordini!$O65</f>
        <v>12.5</v>
      </c>
      <c r="Q65" s="58" t="str">
        <f>IF(Ordini!$P65&lt;0,"DA EVITARE","OK")</f>
        <v>OK</v>
      </c>
      <c r="R65" s="58"/>
    </row>
    <row r="66" spans="1:18" s="62" customFormat="1" x14ac:dyDescent="0.25">
      <c r="A66" s="48" t="s">
        <v>95</v>
      </c>
      <c r="B66" s="49" t="s">
        <v>109</v>
      </c>
      <c r="C66" s="49" t="s">
        <v>20</v>
      </c>
      <c r="D66" s="49" t="s">
        <v>168</v>
      </c>
      <c r="E66" s="49" t="s">
        <v>74</v>
      </c>
      <c r="F66" s="50">
        <v>1</v>
      </c>
      <c r="G66" s="52">
        <v>99.99</v>
      </c>
      <c r="H66" s="51">
        <v>0</v>
      </c>
      <c r="I66" s="52">
        <f>Ordini!$G66/(1+Ordini!$H66)</f>
        <v>99.99</v>
      </c>
      <c r="J66" s="52">
        <v>18.850000000000001</v>
      </c>
      <c r="K66" s="52">
        <v>50</v>
      </c>
      <c r="L66" s="52">
        <v>8.8000000000000007</v>
      </c>
      <c r="M66" s="50" t="s">
        <v>22</v>
      </c>
      <c r="N66" s="50"/>
      <c r="O66" s="53">
        <f>Ordini!$K66+Ordini!$J66+Ordini!$L66</f>
        <v>77.649999999999991</v>
      </c>
      <c r="P66" s="53">
        <f>Ordini!$I66-Ordini!$O66</f>
        <v>22.340000000000003</v>
      </c>
      <c r="Q66" s="50" t="str">
        <f>IF(Ordini!$P66&lt;0,"DA EVITARE","OK")</f>
        <v>OK</v>
      </c>
      <c r="R66" s="50"/>
    </row>
    <row r="67" spans="1:18" s="55" customFormat="1" x14ac:dyDescent="0.25">
      <c r="A67" s="56" t="s">
        <v>95</v>
      </c>
      <c r="B67" s="57" t="s">
        <v>109</v>
      </c>
      <c r="C67" s="57" t="s">
        <v>20</v>
      </c>
      <c r="D67" s="57" t="s">
        <v>169</v>
      </c>
      <c r="E67" s="57" t="s">
        <v>78</v>
      </c>
      <c r="F67" s="58">
        <v>1</v>
      </c>
      <c r="G67" s="60">
        <v>39.99</v>
      </c>
      <c r="H67" s="59">
        <v>0</v>
      </c>
      <c r="I67" s="60">
        <f>Ordini!$G67/(1+Ordini!$H67)</f>
        <v>39.99</v>
      </c>
      <c r="J67" s="60">
        <v>7.54</v>
      </c>
      <c r="K67" s="60">
        <v>15.100000000000001</v>
      </c>
      <c r="L67" s="60">
        <v>4.8499999999999996</v>
      </c>
      <c r="M67" s="58" t="s">
        <v>22</v>
      </c>
      <c r="N67" s="58"/>
      <c r="O67" s="61">
        <f>Ordini!$K67+Ordini!$J67+Ordini!$L67</f>
        <v>27.490000000000002</v>
      </c>
      <c r="P67" s="61">
        <f>Ordini!$I67-Ordini!$O67</f>
        <v>12.5</v>
      </c>
      <c r="Q67" s="58" t="str">
        <f>IF(Ordini!$P67&lt;0,"DA EVITARE","OK")</f>
        <v>OK</v>
      </c>
      <c r="R67" s="58"/>
    </row>
    <row r="68" spans="1:18" s="62" customFormat="1" x14ac:dyDescent="0.25">
      <c r="A68" s="48" t="s">
        <v>95</v>
      </c>
      <c r="B68" s="49" t="s">
        <v>110</v>
      </c>
      <c r="C68" s="49" t="s">
        <v>20</v>
      </c>
      <c r="D68" s="49" t="s">
        <v>170</v>
      </c>
      <c r="E68" s="49" t="s">
        <v>46</v>
      </c>
      <c r="F68" s="50">
        <v>1</v>
      </c>
      <c r="G68" s="52">
        <v>23.68</v>
      </c>
      <c r="H68" s="51">
        <v>0</v>
      </c>
      <c r="I68" s="52">
        <f>Ordini!$G68/(1+Ordini!$H68)</f>
        <v>23.68</v>
      </c>
      <c r="J68" s="52">
        <v>0</v>
      </c>
      <c r="K68" s="52">
        <v>10.82</v>
      </c>
      <c r="L68" s="52">
        <v>4.7699999999999996</v>
      </c>
      <c r="M68" s="50" t="s">
        <v>22</v>
      </c>
      <c r="N68" s="50"/>
      <c r="O68" s="53">
        <f>Ordini!$K68+Ordini!$J68+Ordini!$L68</f>
        <v>15.59</v>
      </c>
      <c r="P68" s="53">
        <f>Ordini!$I68-Ordini!$O68</f>
        <v>8.09</v>
      </c>
      <c r="Q68" s="50" t="str">
        <f>IF(Ordini!$P68&lt;0,"DA EVITARE","OK")</f>
        <v>OK</v>
      </c>
      <c r="R68" s="50"/>
    </row>
    <row r="69" spans="1:18" s="55" customFormat="1" x14ac:dyDescent="0.25">
      <c r="A69" s="56" t="s">
        <v>95</v>
      </c>
      <c r="B69" s="57" t="s">
        <v>110</v>
      </c>
      <c r="C69" s="57" t="s">
        <v>20</v>
      </c>
      <c r="D69" s="57" t="s">
        <v>171</v>
      </c>
      <c r="E69" s="57" t="s">
        <v>352</v>
      </c>
      <c r="F69" s="58">
        <v>1</v>
      </c>
      <c r="G69" s="60">
        <v>26.67</v>
      </c>
      <c r="H69" s="59">
        <v>0</v>
      </c>
      <c r="I69" s="60">
        <f>Ordini!$G69/(1+Ordini!$H69)</f>
        <v>26.67</v>
      </c>
      <c r="J69" s="60">
        <v>0</v>
      </c>
      <c r="K69" s="60">
        <v>10.9678</v>
      </c>
      <c r="L69" s="60">
        <v>4.3600000000000003</v>
      </c>
      <c r="M69" s="58" t="s">
        <v>22</v>
      </c>
      <c r="N69" s="58"/>
      <c r="O69" s="61">
        <f>Ordini!$K69+Ordini!$J69+Ordini!$L69</f>
        <v>15.3278</v>
      </c>
      <c r="P69" s="61">
        <f>Ordini!$I69-Ordini!$O69</f>
        <v>11.342200000000002</v>
      </c>
      <c r="Q69" s="58" t="str">
        <f>IF(Ordini!$P69&lt;0,"DA EVITARE","OK")</f>
        <v>OK</v>
      </c>
      <c r="R69" s="58"/>
    </row>
    <row r="70" spans="1:18" s="62" customFormat="1" x14ac:dyDescent="0.25">
      <c r="A70" s="48" t="s">
        <v>95</v>
      </c>
      <c r="B70" s="49" t="s">
        <v>110</v>
      </c>
      <c r="C70" s="49" t="s">
        <v>20</v>
      </c>
      <c r="D70" s="49" t="s">
        <v>172</v>
      </c>
      <c r="E70" s="49" t="s">
        <v>50</v>
      </c>
      <c r="F70" s="50">
        <v>1</v>
      </c>
      <c r="G70" s="52">
        <v>15.73</v>
      </c>
      <c r="H70" s="51">
        <v>0</v>
      </c>
      <c r="I70" s="52">
        <f>Ordini!$G70/(1+Ordini!$H70)</f>
        <v>15.73</v>
      </c>
      <c r="J70" s="52">
        <v>0</v>
      </c>
      <c r="K70" s="52">
        <v>6.41</v>
      </c>
      <c r="L70" s="52">
        <v>4.7699999999999996</v>
      </c>
      <c r="M70" s="50" t="s">
        <v>22</v>
      </c>
      <c r="N70" s="50"/>
      <c r="O70" s="53">
        <f>Ordini!$K70+Ordini!$J70+Ordini!$L70</f>
        <v>11.18</v>
      </c>
      <c r="P70" s="53">
        <f>Ordini!$I70-Ordini!$O70</f>
        <v>4.5500000000000007</v>
      </c>
      <c r="Q70" s="50" t="str">
        <f>IF(Ordini!$P70&lt;0,"DA EVITARE","OK")</f>
        <v>OK</v>
      </c>
      <c r="R70" s="50"/>
    </row>
    <row r="71" spans="1:18" s="55" customFormat="1" x14ac:dyDescent="0.25">
      <c r="A71" s="56" t="s">
        <v>95</v>
      </c>
      <c r="B71" s="57" t="s">
        <v>110</v>
      </c>
      <c r="C71" s="57" t="s">
        <v>20</v>
      </c>
      <c r="D71" s="57" t="s">
        <v>173</v>
      </c>
      <c r="E71" s="57" t="s">
        <v>50</v>
      </c>
      <c r="F71" s="58">
        <v>1</v>
      </c>
      <c r="G71" s="60">
        <v>15.73</v>
      </c>
      <c r="H71" s="59">
        <v>0</v>
      </c>
      <c r="I71" s="60">
        <f>Ordini!$G71/(1+Ordini!$H71)</f>
        <v>15.73</v>
      </c>
      <c r="J71" s="60">
        <v>0</v>
      </c>
      <c r="K71" s="60">
        <v>6.41</v>
      </c>
      <c r="L71" s="60">
        <v>4.7699999999999996</v>
      </c>
      <c r="M71" s="58" t="s">
        <v>22</v>
      </c>
      <c r="N71" s="58"/>
      <c r="O71" s="61">
        <f>Ordini!$K71+Ordini!$J71+Ordini!$L71</f>
        <v>11.18</v>
      </c>
      <c r="P71" s="61">
        <f>Ordini!$I71-Ordini!$O71</f>
        <v>4.5500000000000007</v>
      </c>
      <c r="Q71" s="58" t="str">
        <f>IF(Ordini!$P71&lt;0,"DA EVITARE","OK")</f>
        <v>OK</v>
      </c>
      <c r="R71" s="58"/>
    </row>
    <row r="72" spans="1:18" s="62" customFormat="1" x14ac:dyDescent="0.25">
      <c r="A72" s="48" t="s">
        <v>95</v>
      </c>
      <c r="B72" s="49" t="s">
        <v>110</v>
      </c>
      <c r="C72" s="49" t="s">
        <v>20</v>
      </c>
      <c r="D72" s="49" t="s">
        <v>174</v>
      </c>
      <c r="E72" s="49" t="s">
        <v>74</v>
      </c>
      <c r="F72" s="50">
        <v>1</v>
      </c>
      <c r="G72" s="52">
        <v>85.73</v>
      </c>
      <c r="H72" s="51">
        <v>0</v>
      </c>
      <c r="I72" s="52">
        <f>Ordini!$G72/(1+Ordini!$H72)</f>
        <v>85.73</v>
      </c>
      <c r="J72" s="52">
        <v>0</v>
      </c>
      <c r="K72" s="52">
        <v>50</v>
      </c>
      <c r="L72" s="52">
        <v>8.8000000000000007</v>
      </c>
      <c r="M72" s="50" t="s">
        <v>22</v>
      </c>
      <c r="N72" s="50"/>
      <c r="O72" s="53">
        <f>Ordini!$K72+Ordini!$J72+Ordini!$L72</f>
        <v>58.8</v>
      </c>
      <c r="P72" s="53">
        <f>Ordini!$I72-Ordini!$O72</f>
        <v>26.930000000000007</v>
      </c>
      <c r="Q72" s="50" t="str">
        <f>IF(Ordini!$P72&lt;0,"DA EVITARE","OK")</f>
        <v>OK</v>
      </c>
      <c r="R72" s="50"/>
    </row>
    <row r="73" spans="1:18" s="55" customFormat="1" x14ac:dyDescent="0.25">
      <c r="A73" s="56" t="s">
        <v>95</v>
      </c>
      <c r="B73" s="57" t="s">
        <v>110</v>
      </c>
      <c r="C73" s="57" t="s">
        <v>20</v>
      </c>
      <c r="D73" s="57" t="s">
        <v>175</v>
      </c>
      <c r="E73" s="57" t="s">
        <v>60</v>
      </c>
      <c r="F73" s="58">
        <v>1</v>
      </c>
      <c r="G73" s="60">
        <v>76.27</v>
      </c>
      <c r="H73" s="59">
        <v>0</v>
      </c>
      <c r="I73" s="60">
        <f>Ordini!$G73/(1+Ordini!$H73)</f>
        <v>76.27</v>
      </c>
      <c r="J73" s="60">
        <v>0</v>
      </c>
      <c r="K73" s="60">
        <v>39.76</v>
      </c>
      <c r="L73" s="60">
        <v>8.01</v>
      </c>
      <c r="M73" s="58" t="s">
        <v>22</v>
      </c>
      <c r="N73" s="58"/>
      <c r="O73" s="61">
        <f>Ordini!$K73+Ordini!$J73+Ordini!$L73</f>
        <v>47.769999999999996</v>
      </c>
      <c r="P73" s="61">
        <f>Ordini!$I73-Ordini!$O73</f>
        <v>28.5</v>
      </c>
      <c r="Q73" s="58" t="str">
        <f>IF(Ordini!$P73&lt;0,"DA EVITARE","OK")</f>
        <v>OK</v>
      </c>
      <c r="R73" s="58"/>
    </row>
    <row r="74" spans="1:18" s="62" customFormat="1" x14ac:dyDescent="0.25">
      <c r="A74" s="48" t="s">
        <v>95</v>
      </c>
      <c r="B74" s="49" t="s">
        <v>110</v>
      </c>
      <c r="C74" s="49" t="s">
        <v>20</v>
      </c>
      <c r="D74" s="49" t="s">
        <v>176</v>
      </c>
      <c r="E74" s="49" t="s">
        <v>56</v>
      </c>
      <c r="F74" s="50">
        <v>1</v>
      </c>
      <c r="G74" s="52">
        <v>19.02</v>
      </c>
      <c r="H74" s="51">
        <v>0</v>
      </c>
      <c r="I74" s="52">
        <f>Ordini!$G74/(1+Ordini!$H74)</f>
        <v>19.02</v>
      </c>
      <c r="J74" s="52">
        <v>0</v>
      </c>
      <c r="K74" s="52">
        <v>6.62</v>
      </c>
      <c r="L74" s="52">
        <v>4.7699999999999996</v>
      </c>
      <c r="M74" s="50" t="s">
        <v>22</v>
      </c>
      <c r="N74" s="50"/>
      <c r="O74" s="53">
        <f>Ordini!$K74+Ordini!$J74+Ordini!$L74</f>
        <v>11.39</v>
      </c>
      <c r="P74" s="53">
        <f>Ordini!$I74-Ordini!$O74</f>
        <v>7.629999999999999</v>
      </c>
      <c r="Q74" s="50" t="str">
        <f>IF(Ordini!$P74&lt;0,"DA EVITARE","OK")</f>
        <v>OK</v>
      </c>
      <c r="R74" s="50"/>
    </row>
    <row r="75" spans="1:18" s="55" customFormat="1" x14ac:dyDescent="0.25">
      <c r="A75" s="56" t="s">
        <v>95</v>
      </c>
      <c r="B75" s="57" t="s">
        <v>110</v>
      </c>
      <c r="C75" s="57" t="s">
        <v>20</v>
      </c>
      <c r="D75" s="57" t="s">
        <v>177</v>
      </c>
      <c r="E75" s="57" t="s">
        <v>72</v>
      </c>
      <c r="F75" s="58">
        <v>1</v>
      </c>
      <c r="G75" s="60">
        <v>20.18</v>
      </c>
      <c r="H75" s="59">
        <v>0</v>
      </c>
      <c r="I75" s="60">
        <f>Ordini!$G75/(1+Ordini!$H75)</f>
        <v>20.18</v>
      </c>
      <c r="J75" s="60">
        <v>0</v>
      </c>
      <c r="K75" s="60">
        <v>6.18</v>
      </c>
      <c r="L75" s="60">
        <v>4.7699999999999996</v>
      </c>
      <c r="M75" s="58" t="s">
        <v>22</v>
      </c>
      <c r="N75" s="58"/>
      <c r="O75" s="61">
        <f>Ordini!$K75+Ordini!$J75+Ordini!$L75</f>
        <v>10.95</v>
      </c>
      <c r="P75" s="61">
        <f>Ordini!$I75-Ordini!$O75</f>
        <v>9.23</v>
      </c>
      <c r="Q75" s="58" t="str">
        <f>IF(Ordini!$P75&lt;0,"DA EVITARE","OK")</f>
        <v>OK</v>
      </c>
      <c r="R75" s="58"/>
    </row>
    <row r="76" spans="1:18" s="62" customFormat="1" x14ac:dyDescent="0.25">
      <c r="A76" s="48" t="s">
        <v>95</v>
      </c>
      <c r="B76" s="49" t="s">
        <v>110</v>
      </c>
      <c r="C76" s="49" t="s">
        <v>20</v>
      </c>
      <c r="D76" s="49" t="s">
        <v>178</v>
      </c>
      <c r="E76" s="49" t="s">
        <v>74</v>
      </c>
      <c r="F76" s="50">
        <v>1</v>
      </c>
      <c r="G76" s="52">
        <v>84.29</v>
      </c>
      <c r="H76" s="51">
        <v>0</v>
      </c>
      <c r="I76" s="52">
        <f>Ordini!$G76/(1+Ordini!$H76)</f>
        <v>84.29</v>
      </c>
      <c r="J76" s="52">
        <v>0</v>
      </c>
      <c r="K76" s="52">
        <v>50</v>
      </c>
      <c r="L76" s="52">
        <v>8.8000000000000007</v>
      </c>
      <c r="M76" s="50" t="s">
        <v>22</v>
      </c>
      <c r="N76" s="50"/>
      <c r="O76" s="53">
        <f>Ordini!$K76+Ordini!$J76+Ordini!$L76</f>
        <v>58.8</v>
      </c>
      <c r="P76" s="53">
        <f>Ordini!$I76-Ordini!$O76</f>
        <v>25.490000000000009</v>
      </c>
      <c r="Q76" s="50" t="str">
        <f>IF(Ordini!$P76&lt;0,"DA EVITARE","OK")</f>
        <v>OK</v>
      </c>
      <c r="R76" s="50"/>
    </row>
    <row r="77" spans="1:18" s="55" customFormat="1" x14ac:dyDescent="0.25">
      <c r="A77" s="56" t="s">
        <v>95</v>
      </c>
      <c r="B77" s="57" t="s">
        <v>111</v>
      </c>
      <c r="C77" s="57" t="s">
        <v>20</v>
      </c>
      <c r="D77" s="57" t="s">
        <v>179</v>
      </c>
      <c r="E77" s="57" t="s">
        <v>74</v>
      </c>
      <c r="F77" s="58">
        <v>1</v>
      </c>
      <c r="G77" s="60">
        <v>99.99</v>
      </c>
      <c r="H77" s="59">
        <v>0</v>
      </c>
      <c r="I77" s="60">
        <f>Ordini!$G77/(1+Ordini!$H77)</f>
        <v>99.99</v>
      </c>
      <c r="J77" s="60">
        <v>9.1999999999999993</v>
      </c>
      <c r="K77" s="60">
        <v>50</v>
      </c>
      <c r="L77" s="60">
        <v>8.8000000000000007</v>
      </c>
      <c r="M77" s="58" t="s">
        <v>22</v>
      </c>
      <c r="N77" s="58"/>
      <c r="O77" s="61">
        <f>Ordini!$K77+Ordini!$J77+Ordini!$L77</f>
        <v>68</v>
      </c>
      <c r="P77" s="61">
        <f>Ordini!$I77-Ordini!$O77</f>
        <v>31.989999999999995</v>
      </c>
      <c r="Q77" s="58" t="str">
        <f>IF(Ordini!$P77&lt;0,"DA EVITARE","OK")</f>
        <v>OK</v>
      </c>
      <c r="R77" s="58"/>
    </row>
    <row r="78" spans="1:18" s="62" customFormat="1" x14ac:dyDescent="0.25">
      <c r="A78" s="48">
        <v>46129</v>
      </c>
      <c r="B78" s="49" t="s">
        <v>363</v>
      </c>
      <c r="C78" s="49" t="s">
        <v>20</v>
      </c>
      <c r="D78" s="49" t="s">
        <v>375</v>
      </c>
      <c r="E78" s="49" t="s">
        <v>389</v>
      </c>
      <c r="F78" s="50">
        <v>1</v>
      </c>
      <c r="G78" s="52">
        <v>38.729999999999997</v>
      </c>
      <c r="H78" s="51">
        <v>0</v>
      </c>
      <c r="I78" s="52">
        <f>Ordini!$G78/(1+Ordini!$H78)</f>
        <v>38.729999999999997</v>
      </c>
      <c r="J78" s="52">
        <v>4.6500000000000004</v>
      </c>
      <c r="K78" s="52">
        <v>21.73</v>
      </c>
      <c r="L78" s="52">
        <v>4.8499999999999996</v>
      </c>
      <c r="M78" s="50" t="s">
        <v>22</v>
      </c>
      <c r="N78" s="50"/>
      <c r="O78" s="53">
        <f>Ordini!$K78+Ordini!$J78+Ordini!$L78</f>
        <v>31.230000000000004</v>
      </c>
      <c r="P78" s="53">
        <f>Ordini!$I78-Ordini!$O78</f>
        <v>7.4999999999999929</v>
      </c>
      <c r="Q78" s="50" t="str">
        <f>IF(Ordini!$P78&lt;0,"DA EVITARE","OK")</f>
        <v>OK</v>
      </c>
      <c r="R78" s="50"/>
    </row>
    <row r="79" spans="1:18" s="55" customFormat="1" x14ac:dyDescent="0.25">
      <c r="A79" s="56">
        <v>46130</v>
      </c>
      <c r="B79" s="57" t="s">
        <v>363</v>
      </c>
      <c r="C79" s="57" t="s">
        <v>20</v>
      </c>
      <c r="D79" s="57" t="s">
        <v>376</v>
      </c>
      <c r="E79" s="57" t="s">
        <v>405</v>
      </c>
      <c r="F79" s="58">
        <v>1</v>
      </c>
      <c r="G79" s="60">
        <v>12.86</v>
      </c>
      <c r="H79" s="59">
        <v>0</v>
      </c>
      <c r="I79" s="60">
        <f>Ordini!$G79/(1+Ordini!$H79)</f>
        <v>12.86</v>
      </c>
      <c r="J79" s="60">
        <v>1.54</v>
      </c>
      <c r="K79" s="60">
        <v>3.03</v>
      </c>
      <c r="L79" s="60">
        <v>4.3600000000000003</v>
      </c>
      <c r="M79" s="58" t="s">
        <v>22</v>
      </c>
      <c r="N79" s="58"/>
      <c r="O79" s="61">
        <f>Ordini!$K79+Ordini!$J79+Ordini!$L79</f>
        <v>8.93</v>
      </c>
      <c r="P79" s="61">
        <f>Ordini!$I79-Ordini!$O79</f>
        <v>3.9299999999999997</v>
      </c>
      <c r="Q79" s="58" t="str">
        <f>IF(Ordini!$P79&lt;0,"DA EVITARE","OK")</f>
        <v>OK</v>
      </c>
      <c r="R79" s="58"/>
    </row>
    <row r="80" spans="1:18" s="62" customFormat="1" x14ac:dyDescent="0.25">
      <c r="A80" s="48" t="s">
        <v>96</v>
      </c>
      <c r="B80" s="49" t="s">
        <v>109</v>
      </c>
      <c r="C80" s="49" t="s">
        <v>20</v>
      </c>
      <c r="D80" s="49" t="s">
        <v>180</v>
      </c>
      <c r="E80" s="49" t="s">
        <v>78</v>
      </c>
      <c r="F80" s="50">
        <v>1</v>
      </c>
      <c r="G80" s="52">
        <v>39.99</v>
      </c>
      <c r="H80" s="51">
        <v>0</v>
      </c>
      <c r="I80" s="52">
        <f>Ordini!$G80/(1+Ordini!$H80)</f>
        <v>39.99</v>
      </c>
      <c r="J80" s="52">
        <v>7.53</v>
      </c>
      <c r="K80" s="52">
        <v>15.100000000000001</v>
      </c>
      <c r="L80" s="52">
        <v>4.8499999999999996</v>
      </c>
      <c r="M80" s="50" t="s">
        <v>22</v>
      </c>
      <c r="N80" s="50"/>
      <c r="O80" s="53">
        <f>Ordini!$K80+Ordini!$J80+Ordini!$L80</f>
        <v>27.480000000000004</v>
      </c>
      <c r="P80" s="53">
        <f>Ordini!$I80-Ordini!$O80</f>
        <v>12.509999999999998</v>
      </c>
      <c r="Q80" s="50" t="str">
        <f>IF(Ordini!$P80&lt;0,"DA EVITARE","OK")</f>
        <v>OK</v>
      </c>
      <c r="R80" s="50"/>
    </row>
    <row r="81" spans="1:18" s="55" customFormat="1" x14ac:dyDescent="0.25">
      <c r="A81" s="56" t="s">
        <v>96</v>
      </c>
      <c r="B81" s="57" t="s">
        <v>109</v>
      </c>
      <c r="C81" s="57" t="s">
        <v>20</v>
      </c>
      <c r="D81" s="57" t="s">
        <v>181</v>
      </c>
      <c r="E81" s="57" t="s">
        <v>78</v>
      </c>
      <c r="F81" s="58">
        <v>1</v>
      </c>
      <c r="G81" s="60">
        <v>39.99</v>
      </c>
      <c r="H81" s="59">
        <v>0</v>
      </c>
      <c r="I81" s="60">
        <f>Ordini!$G81/(1+Ordini!$H81)</f>
        <v>39.99</v>
      </c>
      <c r="J81" s="60">
        <v>7.53</v>
      </c>
      <c r="K81" s="60">
        <v>15.100000000000001</v>
      </c>
      <c r="L81" s="60">
        <v>4.8499999999999996</v>
      </c>
      <c r="M81" s="58" t="s">
        <v>22</v>
      </c>
      <c r="N81" s="58"/>
      <c r="O81" s="61">
        <f>Ordini!$K81+Ordini!$J81+Ordini!$L81</f>
        <v>27.480000000000004</v>
      </c>
      <c r="P81" s="61">
        <f>Ordini!$I81-Ordini!$O81</f>
        <v>12.509999999999998</v>
      </c>
      <c r="Q81" s="58" t="str">
        <f>IF(Ordini!$P81&lt;0,"DA EVITARE","OK")</f>
        <v>OK</v>
      </c>
      <c r="R81" s="58"/>
    </row>
    <row r="82" spans="1:18" s="62" customFormat="1" x14ac:dyDescent="0.25">
      <c r="A82" s="48" t="s">
        <v>96</v>
      </c>
      <c r="B82" s="49" t="s">
        <v>109</v>
      </c>
      <c r="C82" s="49" t="s">
        <v>20</v>
      </c>
      <c r="D82" s="49" t="s">
        <v>182</v>
      </c>
      <c r="E82" s="49" t="s">
        <v>78</v>
      </c>
      <c r="F82" s="50">
        <v>1</v>
      </c>
      <c r="G82" s="52">
        <v>39.99</v>
      </c>
      <c r="H82" s="51">
        <v>0</v>
      </c>
      <c r="I82" s="52">
        <f>Ordini!$G82/(1+Ordini!$H82)</f>
        <v>39.99</v>
      </c>
      <c r="J82" s="52">
        <v>7.53</v>
      </c>
      <c r="K82" s="52">
        <v>15.100000000000001</v>
      </c>
      <c r="L82" s="52">
        <v>4.8499999999999996</v>
      </c>
      <c r="M82" s="50" t="s">
        <v>22</v>
      </c>
      <c r="N82" s="50"/>
      <c r="O82" s="53">
        <f>Ordini!$K82+Ordini!$J82+Ordini!$L82</f>
        <v>27.480000000000004</v>
      </c>
      <c r="P82" s="53">
        <f>Ordini!$I82-Ordini!$O82</f>
        <v>12.509999999999998</v>
      </c>
      <c r="Q82" s="50" t="str">
        <f>IF(Ordini!$P82&lt;0,"DA EVITARE","OK")</f>
        <v>OK</v>
      </c>
      <c r="R82" s="50"/>
    </row>
    <row r="83" spans="1:18" s="55" customFormat="1" x14ac:dyDescent="0.25">
      <c r="A83" s="56" t="s">
        <v>96</v>
      </c>
      <c r="B83" s="57" t="s">
        <v>109</v>
      </c>
      <c r="C83" s="57" t="s">
        <v>20</v>
      </c>
      <c r="D83" s="57" t="s">
        <v>183</v>
      </c>
      <c r="E83" s="57" t="s">
        <v>74</v>
      </c>
      <c r="F83" s="58">
        <v>1</v>
      </c>
      <c r="G83" s="60">
        <v>99.99</v>
      </c>
      <c r="H83" s="59">
        <v>0</v>
      </c>
      <c r="I83" s="60">
        <f>Ordini!$G83/(1+Ordini!$H83)</f>
        <v>99.99</v>
      </c>
      <c r="J83" s="60">
        <v>18.84</v>
      </c>
      <c r="K83" s="60">
        <v>50</v>
      </c>
      <c r="L83" s="60">
        <v>8.8000000000000007</v>
      </c>
      <c r="M83" s="58" t="s">
        <v>22</v>
      </c>
      <c r="N83" s="58"/>
      <c r="O83" s="61">
        <f>Ordini!$K83+Ordini!$J83+Ordini!$L83</f>
        <v>77.64</v>
      </c>
      <c r="P83" s="61">
        <f>Ordini!$I83-Ordini!$O83</f>
        <v>22.349999999999994</v>
      </c>
      <c r="Q83" s="58" t="str">
        <f>IF(Ordini!$P83&lt;0,"DA EVITARE","OK")</f>
        <v>OK</v>
      </c>
      <c r="R83" s="58"/>
    </row>
    <row r="84" spans="1:18" s="62" customFormat="1" x14ac:dyDescent="0.25">
      <c r="A84" s="48" t="s">
        <v>96</v>
      </c>
      <c r="B84" s="49" t="s">
        <v>109</v>
      </c>
      <c r="C84" s="49" t="s">
        <v>20</v>
      </c>
      <c r="D84" s="49" t="s">
        <v>184</v>
      </c>
      <c r="E84" s="49" t="s">
        <v>78</v>
      </c>
      <c r="F84" s="50">
        <v>1</v>
      </c>
      <c r="G84" s="52">
        <v>39.99</v>
      </c>
      <c r="H84" s="51">
        <v>0</v>
      </c>
      <c r="I84" s="52">
        <f>Ordini!$G84/(1+Ordini!$H84)</f>
        <v>39.99</v>
      </c>
      <c r="J84" s="52">
        <v>7.53</v>
      </c>
      <c r="K84" s="52">
        <v>15.100000000000001</v>
      </c>
      <c r="L84" s="52">
        <v>4.8499999999999996</v>
      </c>
      <c r="M84" s="50" t="s">
        <v>22</v>
      </c>
      <c r="N84" s="50"/>
      <c r="O84" s="53">
        <f>Ordini!$K84+Ordini!$J84+Ordini!$L84</f>
        <v>27.480000000000004</v>
      </c>
      <c r="P84" s="53">
        <f>Ordini!$I84-Ordini!$O84</f>
        <v>12.509999999999998</v>
      </c>
      <c r="Q84" s="50" t="str">
        <f>IF(Ordini!$P84&lt;0,"DA EVITARE","OK")</f>
        <v>OK</v>
      </c>
      <c r="R84" s="50"/>
    </row>
    <row r="85" spans="1:18" s="55" customFormat="1" x14ac:dyDescent="0.25">
      <c r="A85" s="56" t="s">
        <v>96</v>
      </c>
      <c r="B85" s="57" t="s">
        <v>109</v>
      </c>
      <c r="C85" s="57" t="s">
        <v>20</v>
      </c>
      <c r="D85" s="57" t="s">
        <v>185</v>
      </c>
      <c r="E85" s="57" t="s">
        <v>78</v>
      </c>
      <c r="F85" s="58">
        <v>1</v>
      </c>
      <c r="G85" s="60">
        <v>39.99</v>
      </c>
      <c r="H85" s="59">
        <v>0</v>
      </c>
      <c r="I85" s="60">
        <f>Ordini!$G85/(1+Ordini!$H85)</f>
        <v>39.99</v>
      </c>
      <c r="J85" s="60">
        <v>7.53</v>
      </c>
      <c r="K85" s="60">
        <v>15.100000000000001</v>
      </c>
      <c r="L85" s="60">
        <v>4.8499999999999996</v>
      </c>
      <c r="M85" s="58" t="s">
        <v>22</v>
      </c>
      <c r="N85" s="58"/>
      <c r="O85" s="61">
        <f>Ordini!$K85+Ordini!$J85+Ordini!$L85</f>
        <v>27.480000000000004</v>
      </c>
      <c r="P85" s="61">
        <f>Ordini!$I85-Ordini!$O85</f>
        <v>12.509999999999998</v>
      </c>
      <c r="Q85" s="58" t="str">
        <f>IF(Ordini!$P85&lt;0,"DA EVITARE","OK")</f>
        <v>OK</v>
      </c>
      <c r="R85" s="58"/>
    </row>
    <row r="86" spans="1:18" s="62" customFormat="1" x14ac:dyDescent="0.25">
      <c r="A86" s="48" t="s">
        <v>96</v>
      </c>
      <c r="B86" s="49" t="s">
        <v>109</v>
      </c>
      <c r="C86" s="49" t="s">
        <v>20</v>
      </c>
      <c r="D86" s="49" t="s">
        <v>186</v>
      </c>
      <c r="E86" s="49" t="s">
        <v>78</v>
      </c>
      <c r="F86" s="50">
        <v>1</v>
      </c>
      <c r="G86" s="52">
        <v>39.99</v>
      </c>
      <c r="H86" s="51">
        <v>0</v>
      </c>
      <c r="I86" s="52">
        <f>Ordini!$G86/(1+Ordini!$H86)</f>
        <v>39.99</v>
      </c>
      <c r="J86" s="52">
        <v>7.53</v>
      </c>
      <c r="K86" s="52">
        <v>15.100000000000001</v>
      </c>
      <c r="L86" s="52">
        <v>4.8499999999999996</v>
      </c>
      <c r="M86" s="50" t="s">
        <v>22</v>
      </c>
      <c r="N86" s="50"/>
      <c r="O86" s="53">
        <f>Ordini!$K86+Ordini!$J86+Ordini!$L86</f>
        <v>27.480000000000004</v>
      </c>
      <c r="P86" s="53">
        <f>Ordini!$I86-Ordini!$O86</f>
        <v>12.509999999999998</v>
      </c>
      <c r="Q86" s="50" t="str">
        <f>IF(Ordini!$P86&lt;0,"DA EVITARE","OK")</f>
        <v>OK</v>
      </c>
      <c r="R86" s="50"/>
    </row>
    <row r="87" spans="1:18" s="55" customFormat="1" x14ac:dyDescent="0.25">
      <c r="A87" s="56" t="s">
        <v>96</v>
      </c>
      <c r="B87" s="57" t="s">
        <v>109</v>
      </c>
      <c r="C87" s="57" t="s">
        <v>20</v>
      </c>
      <c r="D87" s="57" t="s">
        <v>187</v>
      </c>
      <c r="E87" s="57" t="s">
        <v>78</v>
      </c>
      <c r="F87" s="58">
        <v>1</v>
      </c>
      <c r="G87" s="60">
        <v>39.99</v>
      </c>
      <c r="H87" s="59">
        <v>0</v>
      </c>
      <c r="I87" s="60">
        <f>Ordini!$G87/(1+Ordini!$H87)</f>
        <v>39.99</v>
      </c>
      <c r="J87" s="60">
        <v>7.53</v>
      </c>
      <c r="K87" s="60">
        <v>15.100000000000001</v>
      </c>
      <c r="L87" s="60">
        <v>4.8499999999999996</v>
      </c>
      <c r="M87" s="58" t="s">
        <v>22</v>
      </c>
      <c r="N87" s="58"/>
      <c r="O87" s="61">
        <f>Ordini!$K87+Ordini!$J87+Ordini!$L87</f>
        <v>27.480000000000004</v>
      </c>
      <c r="P87" s="61">
        <f>Ordini!$I87-Ordini!$O87</f>
        <v>12.509999999999998</v>
      </c>
      <c r="Q87" s="58" t="str">
        <f>IF(Ordini!$P87&lt;0,"DA EVITARE","OK")</f>
        <v>OK</v>
      </c>
      <c r="R87" s="58"/>
    </row>
    <row r="88" spans="1:18" s="62" customFormat="1" x14ac:dyDescent="0.25">
      <c r="A88" s="48" t="s">
        <v>96</v>
      </c>
      <c r="B88" s="49" t="s">
        <v>109</v>
      </c>
      <c r="C88" s="49" t="s">
        <v>20</v>
      </c>
      <c r="D88" s="49" t="s">
        <v>188</v>
      </c>
      <c r="E88" s="49" t="s">
        <v>60</v>
      </c>
      <c r="F88" s="50">
        <v>1</v>
      </c>
      <c r="G88" s="52">
        <v>87.99</v>
      </c>
      <c r="H88" s="51">
        <v>0</v>
      </c>
      <c r="I88" s="52">
        <f>Ordini!$G88/(1+Ordini!$H88)</f>
        <v>87.99</v>
      </c>
      <c r="J88" s="52">
        <v>14.36</v>
      </c>
      <c r="K88" s="52">
        <v>39.76</v>
      </c>
      <c r="L88" s="52">
        <v>8.01</v>
      </c>
      <c r="M88" s="50" t="s">
        <v>22</v>
      </c>
      <c r="N88" s="50"/>
      <c r="O88" s="53">
        <f>Ordini!$K88+Ordini!$J88+Ordini!$L88</f>
        <v>62.129999999999995</v>
      </c>
      <c r="P88" s="53">
        <f>Ordini!$I88-Ordini!$O88</f>
        <v>25.86</v>
      </c>
      <c r="Q88" s="50" t="str">
        <f>IF(Ordini!$P88&lt;0,"DA EVITARE","OK")</f>
        <v>OK</v>
      </c>
      <c r="R88" s="50"/>
    </row>
    <row r="89" spans="1:18" s="55" customFormat="1" x14ac:dyDescent="0.25">
      <c r="A89" s="56" t="s">
        <v>96</v>
      </c>
      <c r="B89" s="57" t="s">
        <v>109</v>
      </c>
      <c r="C89" s="57" t="s">
        <v>20</v>
      </c>
      <c r="D89" s="57" t="s">
        <v>189</v>
      </c>
      <c r="E89" s="57" t="s">
        <v>74</v>
      </c>
      <c r="F89" s="58">
        <v>1</v>
      </c>
      <c r="G89" s="60">
        <v>99.99</v>
      </c>
      <c r="H89" s="59">
        <v>0</v>
      </c>
      <c r="I89" s="60">
        <f>Ordini!$G89/(1+Ordini!$H89)</f>
        <v>99.99</v>
      </c>
      <c r="J89" s="60">
        <v>18.84</v>
      </c>
      <c r="K89" s="60">
        <v>50</v>
      </c>
      <c r="L89" s="60">
        <v>8.8000000000000007</v>
      </c>
      <c r="M89" s="58" t="s">
        <v>22</v>
      </c>
      <c r="N89" s="58"/>
      <c r="O89" s="61">
        <f>Ordini!$K89+Ordini!$J89+Ordini!$L89</f>
        <v>77.64</v>
      </c>
      <c r="P89" s="61">
        <f>Ordini!$I89-Ordini!$O89</f>
        <v>22.349999999999994</v>
      </c>
      <c r="Q89" s="58" t="str">
        <f>IF(Ordini!$P89&lt;0,"DA EVITARE","OK")</f>
        <v>OK</v>
      </c>
      <c r="R89" s="58"/>
    </row>
    <row r="90" spans="1:18" s="62" customFormat="1" x14ac:dyDescent="0.25">
      <c r="A90" s="48" t="s">
        <v>96</v>
      </c>
      <c r="B90" s="49" t="s">
        <v>110</v>
      </c>
      <c r="C90" s="49" t="s">
        <v>20</v>
      </c>
      <c r="D90" s="49" t="s">
        <v>190</v>
      </c>
      <c r="E90" s="49" t="s">
        <v>74</v>
      </c>
      <c r="F90" s="50">
        <v>1</v>
      </c>
      <c r="G90" s="52">
        <v>85.73</v>
      </c>
      <c r="H90" s="51">
        <v>0</v>
      </c>
      <c r="I90" s="52">
        <f>Ordini!$G90/(1+Ordini!$H90)</f>
        <v>85.73</v>
      </c>
      <c r="J90" s="52">
        <v>0</v>
      </c>
      <c r="K90" s="52">
        <v>50</v>
      </c>
      <c r="L90" s="52">
        <v>8.8000000000000007</v>
      </c>
      <c r="M90" s="50" t="s">
        <v>22</v>
      </c>
      <c r="N90" s="50"/>
      <c r="O90" s="53">
        <f>Ordini!$K90+Ordini!$J90+Ordini!$L90</f>
        <v>58.8</v>
      </c>
      <c r="P90" s="53">
        <f>Ordini!$I90-Ordini!$O90</f>
        <v>26.930000000000007</v>
      </c>
      <c r="Q90" s="50" t="str">
        <f>IF(Ordini!$P90&lt;0,"DA EVITARE","OK")</f>
        <v>OK</v>
      </c>
      <c r="R90" s="50"/>
    </row>
    <row r="91" spans="1:18" s="55" customFormat="1" x14ac:dyDescent="0.25">
      <c r="A91" s="56" t="s">
        <v>96</v>
      </c>
      <c r="B91" s="57" t="s">
        <v>110</v>
      </c>
      <c r="C91" s="57" t="s">
        <v>20</v>
      </c>
      <c r="D91" s="57" t="s">
        <v>191</v>
      </c>
      <c r="E91" s="57" t="s">
        <v>46</v>
      </c>
      <c r="F91" s="58">
        <v>1</v>
      </c>
      <c r="G91" s="60">
        <v>23.23</v>
      </c>
      <c r="H91" s="59">
        <v>0</v>
      </c>
      <c r="I91" s="60">
        <f>Ordini!$G91/(1+Ordini!$H91)</f>
        <v>23.23</v>
      </c>
      <c r="J91" s="60">
        <v>0</v>
      </c>
      <c r="K91" s="60">
        <v>10.82</v>
      </c>
      <c r="L91" s="60">
        <v>4.7699999999999996</v>
      </c>
      <c r="M91" s="58" t="s">
        <v>22</v>
      </c>
      <c r="N91" s="58"/>
      <c r="O91" s="61">
        <f>Ordini!$K91+Ordini!$J91+Ordini!$L91</f>
        <v>15.59</v>
      </c>
      <c r="P91" s="61">
        <f>Ordini!$I91-Ordini!$O91</f>
        <v>7.6400000000000006</v>
      </c>
      <c r="Q91" s="58" t="str">
        <f>IF(Ordini!$P91&lt;0,"DA EVITARE","OK")</f>
        <v>OK</v>
      </c>
      <c r="R91" s="58"/>
    </row>
    <row r="92" spans="1:18" s="62" customFormat="1" x14ac:dyDescent="0.25">
      <c r="A92" s="48" t="s">
        <v>96</v>
      </c>
      <c r="B92" s="49" t="s">
        <v>110</v>
      </c>
      <c r="C92" s="49" t="s">
        <v>20</v>
      </c>
      <c r="D92" s="49" t="s">
        <v>192</v>
      </c>
      <c r="E92" s="49" t="s">
        <v>79</v>
      </c>
      <c r="F92" s="50">
        <v>1</v>
      </c>
      <c r="G92" s="52">
        <v>49.27</v>
      </c>
      <c r="H92" s="51">
        <v>0</v>
      </c>
      <c r="I92" s="52">
        <f>Ordini!$G92/(1+Ordini!$H92)</f>
        <v>49.27</v>
      </c>
      <c r="J92" s="52">
        <v>0</v>
      </c>
      <c r="K92" s="52">
        <v>24.03</v>
      </c>
      <c r="L92" s="52">
        <v>8.4</v>
      </c>
      <c r="M92" s="50" t="s">
        <v>22</v>
      </c>
      <c r="N92" s="50"/>
      <c r="O92" s="53">
        <f>Ordini!$K92+Ordini!$J92+Ordini!$L92</f>
        <v>32.43</v>
      </c>
      <c r="P92" s="53">
        <f>Ordini!$I92-Ordini!$O92</f>
        <v>16.840000000000003</v>
      </c>
      <c r="Q92" s="50" t="str">
        <f>IF(Ordini!$P92&lt;0,"DA EVITARE","OK")</f>
        <v>OK</v>
      </c>
      <c r="R92" s="50"/>
    </row>
    <row r="93" spans="1:18" s="55" customFormat="1" x14ac:dyDescent="0.25">
      <c r="A93" s="56" t="s">
        <v>96</v>
      </c>
      <c r="B93" s="57" t="s">
        <v>111</v>
      </c>
      <c r="C93" s="57" t="s">
        <v>20</v>
      </c>
      <c r="D93" s="57" t="s">
        <v>193</v>
      </c>
      <c r="E93" s="57" t="s">
        <v>74</v>
      </c>
      <c r="F93" s="58">
        <v>1</v>
      </c>
      <c r="G93" s="60">
        <v>94.99</v>
      </c>
      <c r="H93" s="59">
        <v>0</v>
      </c>
      <c r="I93" s="60">
        <f>Ordini!$G93/(1+Ordini!$H93)</f>
        <v>94.99</v>
      </c>
      <c r="J93" s="60">
        <v>8.75</v>
      </c>
      <c r="K93" s="60">
        <v>50</v>
      </c>
      <c r="L93" s="60">
        <v>8.8000000000000007</v>
      </c>
      <c r="M93" s="58" t="s">
        <v>22</v>
      </c>
      <c r="N93" s="58"/>
      <c r="O93" s="61">
        <f>Ordini!$K93+Ordini!$J93+Ordini!$L93</f>
        <v>67.55</v>
      </c>
      <c r="P93" s="61">
        <f>Ordini!$I93-Ordini!$O93</f>
        <v>27.439999999999998</v>
      </c>
      <c r="Q93" s="58" t="str">
        <f>IF(Ordini!$P93&lt;0,"DA EVITARE","OK")</f>
        <v>OK</v>
      </c>
      <c r="R93" s="58"/>
    </row>
    <row r="94" spans="1:18" s="62" customFormat="1" x14ac:dyDescent="0.25">
      <c r="A94" s="48" t="s">
        <v>97</v>
      </c>
      <c r="B94" s="49" t="s">
        <v>109</v>
      </c>
      <c r="C94" s="49" t="s">
        <v>20</v>
      </c>
      <c r="D94" s="49" t="s">
        <v>194</v>
      </c>
      <c r="E94" s="49" t="s">
        <v>78</v>
      </c>
      <c r="F94" s="50">
        <v>1</v>
      </c>
      <c r="G94" s="52">
        <v>39.99</v>
      </c>
      <c r="H94" s="51">
        <v>0</v>
      </c>
      <c r="I94" s="52">
        <f>Ordini!$G94/(1+Ordini!$H94)</f>
        <v>39.99</v>
      </c>
      <c r="J94" s="52">
        <v>7.54</v>
      </c>
      <c r="K94" s="52">
        <v>15.100000000000001</v>
      </c>
      <c r="L94" s="52">
        <v>4.8499999999999996</v>
      </c>
      <c r="M94" s="50" t="s">
        <v>22</v>
      </c>
      <c r="N94" s="50"/>
      <c r="O94" s="53">
        <f>Ordini!$K94+Ordini!$J94+Ordini!$L94</f>
        <v>27.490000000000002</v>
      </c>
      <c r="P94" s="53">
        <f>Ordini!$I94-Ordini!$O94</f>
        <v>12.5</v>
      </c>
      <c r="Q94" s="50" t="str">
        <f>IF(Ordini!$P94&lt;0,"DA EVITARE","OK")</f>
        <v>OK</v>
      </c>
      <c r="R94" s="50"/>
    </row>
    <row r="95" spans="1:18" s="55" customFormat="1" x14ac:dyDescent="0.25">
      <c r="A95" s="56" t="s">
        <v>97</v>
      </c>
      <c r="B95" s="57" t="s">
        <v>109</v>
      </c>
      <c r="C95" s="57" t="s">
        <v>20</v>
      </c>
      <c r="D95" s="57" t="s">
        <v>195</v>
      </c>
      <c r="E95" s="57" t="s">
        <v>65</v>
      </c>
      <c r="F95" s="58">
        <v>1</v>
      </c>
      <c r="G95" s="60">
        <v>68.989999999999995</v>
      </c>
      <c r="H95" s="59">
        <v>0</v>
      </c>
      <c r="I95" s="60">
        <f>Ordini!$G95/(1+Ordini!$H95)</f>
        <v>68.989999999999995</v>
      </c>
      <c r="J95" s="60">
        <v>13.01</v>
      </c>
      <c r="K95" s="60">
        <v>33.78</v>
      </c>
      <c r="L95" s="60">
        <v>5.87</v>
      </c>
      <c r="M95" s="58" t="s">
        <v>22</v>
      </c>
      <c r="N95" s="58"/>
      <c r="O95" s="61">
        <f>Ordini!$K95+Ordini!$J95+Ordini!$L95</f>
        <v>52.66</v>
      </c>
      <c r="P95" s="61">
        <f>Ordini!$I95-Ordini!$O95</f>
        <v>16.329999999999998</v>
      </c>
      <c r="Q95" s="58" t="str">
        <f>IF(Ordini!$P95&lt;0,"DA EVITARE","OK")</f>
        <v>OK</v>
      </c>
      <c r="R95" s="58"/>
    </row>
    <row r="96" spans="1:18" s="62" customFormat="1" x14ac:dyDescent="0.25">
      <c r="A96" s="48" t="s">
        <v>97</v>
      </c>
      <c r="B96" s="49" t="s">
        <v>109</v>
      </c>
      <c r="C96" s="49" t="s">
        <v>20</v>
      </c>
      <c r="D96" s="49" t="s">
        <v>196</v>
      </c>
      <c r="E96" s="49" t="s">
        <v>78</v>
      </c>
      <c r="F96" s="50">
        <v>1</v>
      </c>
      <c r="G96" s="52">
        <v>39.99</v>
      </c>
      <c r="H96" s="51">
        <v>0</v>
      </c>
      <c r="I96" s="52">
        <f>Ordini!$G96/(1+Ordini!$H96)</f>
        <v>39.99</v>
      </c>
      <c r="J96" s="52">
        <v>7.54</v>
      </c>
      <c r="K96" s="52">
        <v>15.100000000000001</v>
      </c>
      <c r="L96" s="52">
        <v>4.8499999999999996</v>
      </c>
      <c r="M96" s="50" t="s">
        <v>22</v>
      </c>
      <c r="N96" s="50"/>
      <c r="O96" s="53">
        <f>Ordini!$K96+Ordini!$J96+Ordini!$L96</f>
        <v>27.490000000000002</v>
      </c>
      <c r="P96" s="53">
        <f>Ordini!$I96-Ordini!$O96</f>
        <v>12.5</v>
      </c>
      <c r="Q96" s="50" t="str">
        <f>IF(Ordini!$P96&lt;0,"DA EVITARE","OK")</f>
        <v>OK</v>
      </c>
      <c r="R96" s="50"/>
    </row>
    <row r="97" spans="1:18" s="55" customFormat="1" x14ac:dyDescent="0.25">
      <c r="A97" s="56" t="s">
        <v>97</v>
      </c>
      <c r="B97" s="57" t="s">
        <v>109</v>
      </c>
      <c r="C97" s="57" t="s">
        <v>20</v>
      </c>
      <c r="D97" s="57" t="s">
        <v>197</v>
      </c>
      <c r="E97" s="57" t="s">
        <v>74</v>
      </c>
      <c r="F97" s="58">
        <v>1</v>
      </c>
      <c r="G97" s="60">
        <v>99.99</v>
      </c>
      <c r="H97" s="59">
        <v>0</v>
      </c>
      <c r="I97" s="60">
        <f>Ordini!$G97/(1+Ordini!$H97)</f>
        <v>99.99</v>
      </c>
      <c r="J97" s="60">
        <v>18.850000000000001</v>
      </c>
      <c r="K97" s="60">
        <v>50</v>
      </c>
      <c r="L97" s="60">
        <v>8.8000000000000007</v>
      </c>
      <c r="M97" s="58" t="s">
        <v>22</v>
      </c>
      <c r="N97" s="58"/>
      <c r="O97" s="61">
        <f>Ordini!$K97+Ordini!$J97+Ordini!$L97</f>
        <v>77.649999999999991</v>
      </c>
      <c r="P97" s="61">
        <f>Ordini!$I97-Ordini!$O97</f>
        <v>22.340000000000003</v>
      </c>
      <c r="Q97" s="58" t="str">
        <f>IF(Ordini!$P97&lt;0,"DA EVITARE","OK")</f>
        <v>OK</v>
      </c>
      <c r="R97" s="58"/>
    </row>
    <row r="98" spans="1:18" s="62" customFormat="1" x14ac:dyDescent="0.25">
      <c r="A98" s="48" t="s">
        <v>97</v>
      </c>
      <c r="B98" s="49" t="s">
        <v>109</v>
      </c>
      <c r="C98" s="49" t="s">
        <v>20</v>
      </c>
      <c r="D98" s="49" t="s">
        <v>198</v>
      </c>
      <c r="E98" s="49" t="s">
        <v>74</v>
      </c>
      <c r="F98" s="50">
        <v>1</v>
      </c>
      <c r="G98" s="52">
        <v>99.99</v>
      </c>
      <c r="H98" s="51">
        <v>0</v>
      </c>
      <c r="I98" s="52">
        <f>Ordini!$G98/(1+Ordini!$H98)</f>
        <v>99.99</v>
      </c>
      <c r="J98" s="52">
        <v>18.850000000000001</v>
      </c>
      <c r="K98" s="52">
        <v>50</v>
      </c>
      <c r="L98" s="52">
        <v>8.8000000000000007</v>
      </c>
      <c r="M98" s="50" t="s">
        <v>22</v>
      </c>
      <c r="N98" s="50"/>
      <c r="O98" s="53">
        <f>Ordini!$K98+Ordini!$J98+Ordini!$L98</f>
        <v>77.649999999999991</v>
      </c>
      <c r="P98" s="53">
        <f>Ordini!$I98-Ordini!$O98</f>
        <v>22.340000000000003</v>
      </c>
      <c r="Q98" s="50" t="str">
        <f>IF(Ordini!$P98&lt;0,"DA EVITARE","OK")</f>
        <v>OK</v>
      </c>
      <c r="R98" s="50"/>
    </row>
    <row r="99" spans="1:18" s="55" customFormat="1" x14ac:dyDescent="0.25">
      <c r="A99" s="56" t="s">
        <v>97</v>
      </c>
      <c r="B99" s="57" t="s">
        <v>109</v>
      </c>
      <c r="C99" s="57" t="s">
        <v>20</v>
      </c>
      <c r="D99" s="57" t="s">
        <v>199</v>
      </c>
      <c r="E99" s="57" t="s">
        <v>78</v>
      </c>
      <c r="F99" s="58">
        <v>1</v>
      </c>
      <c r="G99" s="60">
        <v>39.99</v>
      </c>
      <c r="H99" s="59">
        <v>0</v>
      </c>
      <c r="I99" s="60">
        <f>Ordini!$G99/(1+Ordini!$H99)</f>
        <v>39.99</v>
      </c>
      <c r="J99" s="60">
        <v>7.54</v>
      </c>
      <c r="K99" s="60">
        <v>15.100000000000001</v>
      </c>
      <c r="L99" s="60">
        <v>4.8499999999999996</v>
      </c>
      <c r="M99" s="58" t="s">
        <v>22</v>
      </c>
      <c r="N99" s="58"/>
      <c r="O99" s="61">
        <f>Ordini!$K99+Ordini!$J99+Ordini!$L99</f>
        <v>27.490000000000002</v>
      </c>
      <c r="P99" s="61">
        <f>Ordini!$I99-Ordini!$O99</f>
        <v>12.5</v>
      </c>
      <c r="Q99" s="58" t="str">
        <f>IF(Ordini!$P99&lt;0,"DA EVITARE","OK")</f>
        <v>OK</v>
      </c>
      <c r="R99" s="58"/>
    </row>
    <row r="100" spans="1:18" s="62" customFormat="1" x14ac:dyDescent="0.25">
      <c r="A100" s="48" t="s">
        <v>97</v>
      </c>
      <c r="B100" s="49" t="s">
        <v>109</v>
      </c>
      <c r="C100" s="49" t="s">
        <v>20</v>
      </c>
      <c r="D100" s="49" t="s">
        <v>200</v>
      </c>
      <c r="E100" s="49" t="s">
        <v>65</v>
      </c>
      <c r="F100" s="50">
        <v>1</v>
      </c>
      <c r="G100" s="52">
        <v>68.989999999999995</v>
      </c>
      <c r="H100" s="51">
        <v>0</v>
      </c>
      <c r="I100" s="52">
        <f>Ordini!$G100/(1+Ordini!$H100)</f>
        <v>68.989999999999995</v>
      </c>
      <c r="J100" s="52">
        <v>13.01</v>
      </c>
      <c r="K100" s="52">
        <v>33.78</v>
      </c>
      <c r="L100" s="52">
        <v>5.87</v>
      </c>
      <c r="M100" s="50" t="s">
        <v>22</v>
      </c>
      <c r="N100" s="50"/>
      <c r="O100" s="53">
        <f>Ordini!$K100+Ordini!$J100+Ordini!$L100</f>
        <v>52.66</v>
      </c>
      <c r="P100" s="53">
        <f>Ordini!$I100-Ordini!$O100</f>
        <v>16.329999999999998</v>
      </c>
      <c r="Q100" s="50" t="str">
        <f>IF(Ordini!$P100&lt;0,"DA EVITARE","OK")</f>
        <v>OK</v>
      </c>
      <c r="R100" s="50"/>
    </row>
    <row r="101" spans="1:18" s="55" customFormat="1" x14ac:dyDescent="0.25">
      <c r="A101" s="56" t="s">
        <v>97</v>
      </c>
      <c r="B101" s="57" t="s">
        <v>109</v>
      </c>
      <c r="C101" s="57" t="s">
        <v>20</v>
      </c>
      <c r="D101" s="57" t="s">
        <v>201</v>
      </c>
      <c r="E101" s="57" t="s">
        <v>74</v>
      </c>
      <c r="F101" s="58">
        <v>1</v>
      </c>
      <c r="G101" s="60">
        <v>99.99</v>
      </c>
      <c r="H101" s="59">
        <v>0</v>
      </c>
      <c r="I101" s="60">
        <f>Ordini!$G101/(1+Ordini!$H101)</f>
        <v>99.99</v>
      </c>
      <c r="J101" s="60">
        <v>18.850000000000001</v>
      </c>
      <c r="K101" s="60">
        <v>50</v>
      </c>
      <c r="L101" s="60">
        <v>8.8000000000000007</v>
      </c>
      <c r="M101" s="58" t="s">
        <v>22</v>
      </c>
      <c r="N101" s="58"/>
      <c r="O101" s="61">
        <f>Ordini!$K101+Ordini!$J101+Ordini!$L101</f>
        <v>77.649999999999991</v>
      </c>
      <c r="P101" s="61">
        <f>Ordini!$I101-Ordini!$O101</f>
        <v>22.340000000000003</v>
      </c>
      <c r="Q101" s="58" t="str">
        <f>IF(Ordini!$P101&lt;0,"DA EVITARE","OK")</f>
        <v>OK</v>
      </c>
      <c r="R101" s="58"/>
    </row>
    <row r="102" spans="1:18" s="62" customFormat="1" x14ac:dyDescent="0.25">
      <c r="A102" s="48" t="s">
        <v>97</v>
      </c>
      <c r="B102" s="49" t="s">
        <v>109</v>
      </c>
      <c r="C102" s="49" t="s">
        <v>20</v>
      </c>
      <c r="D102" s="49" t="s">
        <v>202</v>
      </c>
      <c r="E102" s="49" t="s">
        <v>71</v>
      </c>
      <c r="F102" s="50">
        <v>1</v>
      </c>
      <c r="G102" s="52">
        <v>68.900000000000006</v>
      </c>
      <c r="H102" s="51">
        <v>0</v>
      </c>
      <c r="I102" s="52">
        <f>Ordini!$G102/(1+Ordini!$H102)</f>
        <v>68.900000000000006</v>
      </c>
      <c r="J102" s="52">
        <v>11.27</v>
      </c>
      <c r="K102" s="52">
        <v>32.049999999999997</v>
      </c>
      <c r="L102" s="52">
        <v>5.87</v>
      </c>
      <c r="M102" s="50" t="s">
        <v>22</v>
      </c>
      <c r="N102" s="50"/>
      <c r="O102" s="53">
        <f>Ordini!$K102+Ordini!$J102+Ordini!$L102</f>
        <v>49.189999999999991</v>
      </c>
      <c r="P102" s="53">
        <f>Ordini!$I102-Ordini!$O102</f>
        <v>19.710000000000015</v>
      </c>
      <c r="Q102" s="50" t="str">
        <f>IF(Ordini!$P102&lt;0,"DA EVITARE","OK")</f>
        <v>OK</v>
      </c>
      <c r="R102" s="50"/>
    </row>
    <row r="103" spans="1:18" s="55" customFormat="1" x14ac:dyDescent="0.25">
      <c r="A103" s="56" t="s">
        <v>97</v>
      </c>
      <c r="B103" s="57" t="s">
        <v>109</v>
      </c>
      <c r="C103" s="57" t="s">
        <v>20</v>
      </c>
      <c r="D103" s="57" t="s">
        <v>203</v>
      </c>
      <c r="E103" s="57" t="s">
        <v>74</v>
      </c>
      <c r="F103" s="58">
        <v>1</v>
      </c>
      <c r="G103" s="60">
        <v>99.99</v>
      </c>
      <c r="H103" s="59">
        <v>0</v>
      </c>
      <c r="I103" s="60">
        <f>Ordini!$G103/(1+Ordini!$H103)</f>
        <v>99.99</v>
      </c>
      <c r="J103" s="60">
        <v>18.850000000000001</v>
      </c>
      <c r="K103" s="60">
        <v>50</v>
      </c>
      <c r="L103" s="60">
        <v>8.8000000000000007</v>
      </c>
      <c r="M103" s="58" t="s">
        <v>22</v>
      </c>
      <c r="N103" s="58"/>
      <c r="O103" s="61">
        <f>Ordini!$K103+Ordini!$J103+Ordini!$L103</f>
        <v>77.649999999999991</v>
      </c>
      <c r="P103" s="61">
        <f>Ordini!$I103-Ordini!$O103</f>
        <v>22.340000000000003</v>
      </c>
      <c r="Q103" s="58" t="str">
        <f>IF(Ordini!$P103&lt;0,"DA EVITARE","OK")</f>
        <v>OK</v>
      </c>
      <c r="R103" s="58"/>
    </row>
    <row r="104" spans="1:18" s="62" customFormat="1" x14ac:dyDescent="0.25">
      <c r="A104" s="48" t="s">
        <v>97</v>
      </c>
      <c r="B104" s="49" t="s">
        <v>109</v>
      </c>
      <c r="C104" s="49" t="s">
        <v>20</v>
      </c>
      <c r="D104" s="49" t="s">
        <v>204</v>
      </c>
      <c r="E104" s="49" t="s">
        <v>78</v>
      </c>
      <c r="F104" s="50">
        <v>1</v>
      </c>
      <c r="G104" s="52">
        <v>39.99</v>
      </c>
      <c r="H104" s="51">
        <v>0</v>
      </c>
      <c r="I104" s="52">
        <f>Ordini!$G104/(1+Ordini!$H104)</f>
        <v>39.99</v>
      </c>
      <c r="J104" s="52">
        <v>7.54</v>
      </c>
      <c r="K104" s="52">
        <v>15.100000000000001</v>
      </c>
      <c r="L104" s="52">
        <v>4.8499999999999996</v>
      </c>
      <c r="M104" s="50" t="s">
        <v>22</v>
      </c>
      <c r="N104" s="50"/>
      <c r="O104" s="53">
        <f>Ordini!$K104+Ordini!$J104+Ordini!$L104</f>
        <v>27.490000000000002</v>
      </c>
      <c r="P104" s="53">
        <f>Ordini!$I104-Ordini!$O104</f>
        <v>12.5</v>
      </c>
      <c r="Q104" s="50" t="str">
        <f>IF(Ordini!$P104&lt;0,"DA EVITARE","OK")</f>
        <v>OK</v>
      </c>
      <c r="R104" s="50"/>
    </row>
    <row r="105" spans="1:18" s="55" customFormat="1" x14ac:dyDescent="0.25">
      <c r="A105" s="56" t="s">
        <v>97</v>
      </c>
      <c r="B105" s="57" t="s">
        <v>109</v>
      </c>
      <c r="C105" s="57" t="s">
        <v>20</v>
      </c>
      <c r="D105" s="57" t="s">
        <v>205</v>
      </c>
      <c r="E105" s="57" t="s">
        <v>78</v>
      </c>
      <c r="F105" s="58">
        <v>1</v>
      </c>
      <c r="G105" s="60">
        <v>39.99</v>
      </c>
      <c r="H105" s="59">
        <v>0</v>
      </c>
      <c r="I105" s="60">
        <f>Ordini!$G105/(1+Ordini!$H105)</f>
        <v>39.99</v>
      </c>
      <c r="J105" s="60">
        <v>7.54</v>
      </c>
      <c r="K105" s="60">
        <v>15.100000000000001</v>
      </c>
      <c r="L105" s="60">
        <v>4.8499999999999996</v>
      </c>
      <c r="M105" s="58" t="s">
        <v>22</v>
      </c>
      <c r="N105" s="58"/>
      <c r="O105" s="61">
        <f>Ordini!$K105+Ordini!$J105+Ordini!$L105</f>
        <v>27.490000000000002</v>
      </c>
      <c r="P105" s="61">
        <f>Ordini!$I105-Ordini!$O105</f>
        <v>12.5</v>
      </c>
      <c r="Q105" s="58" t="str">
        <f>IF(Ordini!$P105&lt;0,"DA EVITARE","OK")</f>
        <v>OK</v>
      </c>
      <c r="R105" s="58"/>
    </row>
    <row r="106" spans="1:18" s="62" customFormat="1" x14ac:dyDescent="0.25">
      <c r="A106" s="48" t="s">
        <v>97</v>
      </c>
      <c r="B106" s="49" t="s">
        <v>109</v>
      </c>
      <c r="C106" s="49" t="s">
        <v>20</v>
      </c>
      <c r="D106" s="49" t="s">
        <v>206</v>
      </c>
      <c r="E106" s="49" t="s">
        <v>78</v>
      </c>
      <c r="F106" s="50">
        <v>1</v>
      </c>
      <c r="G106" s="52">
        <v>39.99</v>
      </c>
      <c r="H106" s="51">
        <v>0</v>
      </c>
      <c r="I106" s="52">
        <f>Ordini!$G106/(1+Ordini!$H106)</f>
        <v>39.99</v>
      </c>
      <c r="J106" s="52">
        <v>7.54</v>
      </c>
      <c r="K106" s="52">
        <v>15.100000000000001</v>
      </c>
      <c r="L106" s="52">
        <v>4.8499999999999996</v>
      </c>
      <c r="M106" s="50" t="s">
        <v>22</v>
      </c>
      <c r="N106" s="50"/>
      <c r="O106" s="53">
        <f>Ordini!$K106+Ordini!$J106+Ordini!$L106</f>
        <v>27.490000000000002</v>
      </c>
      <c r="P106" s="53">
        <f>Ordini!$I106-Ordini!$O106</f>
        <v>12.5</v>
      </c>
      <c r="Q106" s="50" t="str">
        <f>IF(Ordini!$P106&lt;0,"DA EVITARE","OK")</f>
        <v>OK</v>
      </c>
      <c r="R106" s="50"/>
    </row>
    <row r="107" spans="1:18" s="55" customFormat="1" x14ac:dyDescent="0.25">
      <c r="A107" s="56" t="s">
        <v>97</v>
      </c>
      <c r="B107" s="57" t="s">
        <v>109</v>
      </c>
      <c r="C107" s="57" t="s">
        <v>20</v>
      </c>
      <c r="D107" s="57" t="s">
        <v>207</v>
      </c>
      <c r="E107" s="57" t="s">
        <v>63</v>
      </c>
      <c r="F107" s="58">
        <v>1</v>
      </c>
      <c r="G107" s="60">
        <v>99</v>
      </c>
      <c r="H107" s="59">
        <v>0</v>
      </c>
      <c r="I107" s="60">
        <f>Ordini!$G107/(1+Ordini!$H107)</f>
        <v>99</v>
      </c>
      <c r="J107" s="60">
        <v>18.670000000000002</v>
      </c>
      <c r="K107" s="60">
        <v>42.629999999999995</v>
      </c>
      <c r="L107" s="60">
        <v>8.4</v>
      </c>
      <c r="M107" s="58" t="s">
        <v>22</v>
      </c>
      <c r="N107" s="58"/>
      <c r="O107" s="61">
        <f>Ordini!$K107+Ordini!$J107+Ordini!$L107</f>
        <v>69.7</v>
      </c>
      <c r="P107" s="61">
        <f>Ordini!$I107-Ordini!$O107</f>
        <v>29.299999999999997</v>
      </c>
      <c r="Q107" s="58" t="str">
        <f>IF(Ordini!$P107&lt;0,"DA EVITARE","OK")</f>
        <v>OK</v>
      </c>
      <c r="R107" s="58"/>
    </row>
    <row r="108" spans="1:18" s="62" customFormat="1" x14ac:dyDescent="0.25">
      <c r="A108" s="48" t="s">
        <v>97</v>
      </c>
      <c r="B108" s="49" t="s">
        <v>109</v>
      </c>
      <c r="C108" s="49" t="s">
        <v>20</v>
      </c>
      <c r="D108" s="49" t="s">
        <v>208</v>
      </c>
      <c r="E108" s="49" t="s">
        <v>74</v>
      </c>
      <c r="F108" s="50">
        <v>1</v>
      </c>
      <c r="G108" s="52">
        <v>99.99</v>
      </c>
      <c r="H108" s="51">
        <v>0</v>
      </c>
      <c r="I108" s="52">
        <f>Ordini!$G108/(1+Ordini!$H108)</f>
        <v>99.99</v>
      </c>
      <c r="J108" s="52">
        <v>18.850000000000001</v>
      </c>
      <c r="K108" s="52">
        <v>50</v>
      </c>
      <c r="L108" s="52">
        <v>8.8000000000000007</v>
      </c>
      <c r="M108" s="50" t="s">
        <v>22</v>
      </c>
      <c r="N108" s="50"/>
      <c r="O108" s="53">
        <f>Ordini!$K108+Ordini!$J108+Ordini!$L108</f>
        <v>77.649999999999991</v>
      </c>
      <c r="P108" s="53">
        <f>Ordini!$I108-Ordini!$O108</f>
        <v>22.340000000000003</v>
      </c>
      <c r="Q108" s="50" t="str">
        <f>IF(Ordini!$P108&lt;0,"DA EVITARE","OK")</f>
        <v>OK</v>
      </c>
      <c r="R108" s="50"/>
    </row>
    <row r="109" spans="1:18" s="55" customFormat="1" x14ac:dyDescent="0.25">
      <c r="A109" s="56" t="s">
        <v>97</v>
      </c>
      <c r="B109" s="57" t="s">
        <v>110</v>
      </c>
      <c r="C109" s="57" t="s">
        <v>20</v>
      </c>
      <c r="D109" s="57" t="s">
        <v>209</v>
      </c>
      <c r="E109" s="57" t="s">
        <v>74</v>
      </c>
      <c r="F109" s="58">
        <v>1</v>
      </c>
      <c r="G109" s="60">
        <v>84.07</v>
      </c>
      <c r="H109" s="59">
        <v>0</v>
      </c>
      <c r="I109" s="60">
        <f>Ordini!$G109/(1+Ordini!$H109)</f>
        <v>84.07</v>
      </c>
      <c r="J109" s="60">
        <v>0</v>
      </c>
      <c r="K109" s="60">
        <v>50</v>
      </c>
      <c r="L109" s="60">
        <v>8.8000000000000007</v>
      </c>
      <c r="M109" s="58" t="s">
        <v>22</v>
      </c>
      <c r="N109" s="58"/>
      <c r="O109" s="61">
        <f>Ordini!$K109+Ordini!$J109+Ordini!$L109</f>
        <v>58.8</v>
      </c>
      <c r="P109" s="61">
        <f>Ordini!$I109-Ordini!$O109</f>
        <v>25.269999999999996</v>
      </c>
      <c r="Q109" s="58" t="str">
        <f>IF(Ordini!$P109&lt;0,"DA EVITARE","OK")</f>
        <v>OK</v>
      </c>
      <c r="R109" s="58"/>
    </row>
    <row r="110" spans="1:18" s="62" customFormat="1" x14ac:dyDescent="0.25">
      <c r="A110" s="48" t="s">
        <v>97</v>
      </c>
      <c r="B110" s="49" t="s">
        <v>110</v>
      </c>
      <c r="C110" s="49" t="s">
        <v>20</v>
      </c>
      <c r="D110" s="49" t="s">
        <v>210</v>
      </c>
      <c r="E110" s="49" t="s">
        <v>74</v>
      </c>
      <c r="F110" s="50">
        <v>1</v>
      </c>
      <c r="G110" s="52">
        <v>85.73</v>
      </c>
      <c r="H110" s="51">
        <v>0</v>
      </c>
      <c r="I110" s="52">
        <f>Ordini!$G110/(1+Ordini!$H110)</f>
        <v>85.73</v>
      </c>
      <c r="J110" s="52">
        <v>0</v>
      </c>
      <c r="K110" s="52">
        <v>50</v>
      </c>
      <c r="L110" s="52">
        <v>8.8000000000000007</v>
      </c>
      <c r="M110" s="50" t="s">
        <v>22</v>
      </c>
      <c r="N110" s="50"/>
      <c r="O110" s="53">
        <f>Ordini!$K110+Ordini!$J110+Ordini!$L110</f>
        <v>58.8</v>
      </c>
      <c r="P110" s="53">
        <f>Ordini!$I110-Ordini!$O110</f>
        <v>26.930000000000007</v>
      </c>
      <c r="Q110" s="50" t="str">
        <f>IF(Ordini!$P110&lt;0,"DA EVITARE","OK")</f>
        <v>OK</v>
      </c>
      <c r="R110" s="50"/>
    </row>
    <row r="111" spans="1:18" s="55" customFormat="1" x14ac:dyDescent="0.25">
      <c r="A111" s="56" t="s">
        <v>97</v>
      </c>
      <c r="B111" s="57" t="s">
        <v>110</v>
      </c>
      <c r="C111" s="57" t="s">
        <v>20</v>
      </c>
      <c r="D111" s="57" t="s">
        <v>211</v>
      </c>
      <c r="E111" s="57" t="s">
        <v>73</v>
      </c>
      <c r="F111" s="58">
        <v>1</v>
      </c>
      <c r="G111" s="60">
        <v>33.99</v>
      </c>
      <c r="H111" s="59">
        <v>0</v>
      </c>
      <c r="I111" s="60">
        <f>Ordini!$G111/(1+Ordini!$H111)</f>
        <v>33.99</v>
      </c>
      <c r="J111" s="60">
        <v>0</v>
      </c>
      <c r="K111" s="60">
        <v>14.47</v>
      </c>
      <c r="L111" s="60">
        <v>7.1</v>
      </c>
      <c r="M111" s="58" t="s">
        <v>22</v>
      </c>
      <c r="N111" s="58"/>
      <c r="O111" s="61">
        <f>Ordini!$K111+Ordini!$J111+Ordini!$L111</f>
        <v>21.57</v>
      </c>
      <c r="P111" s="61">
        <f>Ordini!$I111-Ordini!$O111</f>
        <v>12.420000000000002</v>
      </c>
      <c r="Q111" s="58" t="str">
        <f>IF(Ordini!$P111&lt;0,"DA EVITARE","OK")</f>
        <v>OK</v>
      </c>
      <c r="R111" s="58"/>
    </row>
    <row r="112" spans="1:18" s="62" customFormat="1" x14ac:dyDescent="0.25">
      <c r="A112" s="48" t="s">
        <v>97</v>
      </c>
      <c r="B112" s="49" t="s">
        <v>110</v>
      </c>
      <c r="C112" s="49" t="s">
        <v>20</v>
      </c>
      <c r="D112" s="49" t="s">
        <v>212</v>
      </c>
      <c r="E112" s="49" t="s">
        <v>74</v>
      </c>
      <c r="F112" s="50">
        <v>1</v>
      </c>
      <c r="G112" s="52">
        <v>85.73</v>
      </c>
      <c r="H112" s="51">
        <v>0</v>
      </c>
      <c r="I112" s="52">
        <f>Ordini!$G112/(1+Ordini!$H112)</f>
        <v>85.73</v>
      </c>
      <c r="J112" s="52">
        <v>0</v>
      </c>
      <c r="K112" s="52">
        <v>50</v>
      </c>
      <c r="L112" s="52">
        <v>8.8000000000000007</v>
      </c>
      <c r="M112" s="50" t="s">
        <v>22</v>
      </c>
      <c r="N112" s="50"/>
      <c r="O112" s="53">
        <f>Ordini!$K112+Ordini!$J112+Ordini!$L112</f>
        <v>58.8</v>
      </c>
      <c r="P112" s="53">
        <f>Ordini!$I112-Ordini!$O112</f>
        <v>26.930000000000007</v>
      </c>
      <c r="Q112" s="50" t="str">
        <f>IF(Ordini!$P112&lt;0,"DA EVITARE","OK")</f>
        <v>OK</v>
      </c>
      <c r="R112" s="50"/>
    </row>
    <row r="113" spans="1:18" s="55" customFormat="1" x14ac:dyDescent="0.25">
      <c r="A113" s="56" t="s">
        <v>97</v>
      </c>
      <c r="B113" s="57" t="s">
        <v>110</v>
      </c>
      <c r="C113" s="57" t="s">
        <v>20</v>
      </c>
      <c r="D113" s="57" t="s">
        <v>213</v>
      </c>
      <c r="E113" s="57" t="s">
        <v>74</v>
      </c>
      <c r="F113" s="58">
        <v>1</v>
      </c>
      <c r="G113" s="60">
        <v>85.73</v>
      </c>
      <c r="H113" s="59">
        <v>0</v>
      </c>
      <c r="I113" s="60">
        <f>Ordini!$G113/(1+Ordini!$H113)</f>
        <v>85.73</v>
      </c>
      <c r="J113" s="60">
        <v>0</v>
      </c>
      <c r="K113" s="60">
        <v>50</v>
      </c>
      <c r="L113" s="60">
        <v>8.8000000000000007</v>
      </c>
      <c r="M113" s="58" t="s">
        <v>22</v>
      </c>
      <c r="N113" s="58"/>
      <c r="O113" s="61">
        <f>Ordini!$K113+Ordini!$J113+Ordini!$L113</f>
        <v>58.8</v>
      </c>
      <c r="P113" s="61">
        <f>Ordini!$I113-Ordini!$O113</f>
        <v>26.930000000000007</v>
      </c>
      <c r="Q113" s="58" t="str">
        <f>IF(Ordini!$P113&lt;0,"DA EVITARE","OK")</f>
        <v>OK</v>
      </c>
      <c r="R113" s="58"/>
    </row>
    <row r="114" spans="1:18" s="62" customFormat="1" x14ac:dyDescent="0.25">
      <c r="A114" s="48" t="s">
        <v>97</v>
      </c>
      <c r="B114" s="49" t="s">
        <v>110</v>
      </c>
      <c r="C114" s="49" t="s">
        <v>20</v>
      </c>
      <c r="D114" s="49" t="s">
        <v>214</v>
      </c>
      <c r="E114" s="49" t="s">
        <v>56</v>
      </c>
      <c r="F114" s="50">
        <v>1</v>
      </c>
      <c r="G114" s="52">
        <v>19.02</v>
      </c>
      <c r="H114" s="51">
        <v>0</v>
      </c>
      <c r="I114" s="52">
        <f>Ordini!$G114/(1+Ordini!$H114)</f>
        <v>19.02</v>
      </c>
      <c r="J114" s="52">
        <v>0</v>
      </c>
      <c r="K114" s="52">
        <v>6.62</v>
      </c>
      <c r="L114" s="52">
        <v>4.7699999999999996</v>
      </c>
      <c r="M114" s="50" t="s">
        <v>22</v>
      </c>
      <c r="N114" s="50"/>
      <c r="O114" s="53">
        <f>Ordini!$K114+Ordini!$J114+Ordini!$L114</f>
        <v>11.39</v>
      </c>
      <c r="P114" s="53">
        <f>Ordini!$I114-Ordini!$O114</f>
        <v>7.629999999999999</v>
      </c>
      <c r="Q114" s="50" t="str">
        <f>IF(Ordini!$P114&lt;0,"DA EVITARE","OK")</f>
        <v>OK</v>
      </c>
      <c r="R114" s="50"/>
    </row>
    <row r="115" spans="1:18" s="55" customFormat="1" x14ac:dyDescent="0.25">
      <c r="A115" s="56" t="s">
        <v>97</v>
      </c>
      <c r="B115" s="57" t="s">
        <v>110</v>
      </c>
      <c r="C115" s="57" t="s">
        <v>20</v>
      </c>
      <c r="D115" s="57" t="s">
        <v>215</v>
      </c>
      <c r="E115" s="57" t="s">
        <v>50</v>
      </c>
      <c r="F115" s="58">
        <v>1</v>
      </c>
      <c r="G115" s="60">
        <v>15.73</v>
      </c>
      <c r="H115" s="59">
        <v>0</v>
      </c>
      <c r="I115" s="60">
        <f>Ordini!$G115/(1+Ordini!$H115)</f>
        <v>15.73</v>
      </c>
      <c r="J115" s="60">
        <v>0</v>
      </c>
      <c r="K115" s="60">
        <v>6.41</v>
      </c>
      <c r="L115" s="60">
        <v>4.7699999999999996</v>
      </c>
      <c r="M115" s="58" t="s">
        <v>22</v>
      </c>
      <c r="N115" s="58"/>
      <c r="O115" s="61">
        <f>Ordini!$K115+Ordini!$J115+Ordini!$L115</f>
        <v>11.18</v>
      </c>
      <c r="P115" s="61">
        <f>Ordini!$I115-Ordini!$O115</f>
        <v>4.5500000000000007</v>
      </c>
      <c r="Q115" s="58" t="str">
        <f>IF(Ordini!$P115&lt;0,"DA EVITARE","OK")</f>
        <v>OK</v>
      </c>
      <c r="R115" s="58"/>
    </row>
    <row r="116" spans="1:18" s="62" customFormat="1" x14ac:dyDescent="0.25">
      <c r="A116" s="48" t="s">
        <v>97</v>
      </c>
      <c r="B116" s="49" t="s">
        <v>110</v>
      </c>
      <c r="C116" s="49" t="s">
        <v>20</v>
      </c>
      <c r="D116" s="49" t="s">
        <v>216</v>
      </c>
      <c r="E116" s="49" t="s">
        <v>74</v>
      </c>
      <c r="F116" s="50">
        <v>1</v>
      </c>
      <c r="G116" s="52">
        <v>85.73</v>
      </c>
      <c r="H116" s="51">
        <v>0</v>
      </c>
      <c r="I116" s="52">
        <f>Ordini!$G116/(1+Ordini!$H116)</f>
        <v>85.73</v>
      </c>
      <c r="J116" s="52">
        <v>0</v>
      </c>
      <c r="K116" s="52">
        <v>50</v>
      </c>
      <c r="L116" s="52">
        <v>8.8000000000000007</v>
      </c>
      <c r="M116" s="50" t="s">
        <v>22</v>
      </c>
      <c r="N116" s="50"/>
      <c r="O116" s="53">
        <f>Ordini!$K116+Ordini!$J116+Ordini!$L116</f>
        <v>58.8</v>
      </c>
      <c r="P116" s="53">
        <f>Ordini!$I116-Ordini!$O116</f>
        <v>26.930000000000007</v>
      </c>
      <c r="Q116" s="50" t="str">
        <f>IF(Ordini!$P116&lt;0,"DA EVITARE","OK")</f>
        <v>OK</v>
      </c>
      <c r="R116" s="50"/>
    </row>
    <row r="117" spans="1:18" s="55" customFormat="1" x14ac:dyDescent="0.25">
      <c r="A117" s="56" t="s">
        <v>97</v>
      </c>
      <c r="B117" s="57" t="s">
        <v>110</v>
      </c>
      <c r="C117" s="57" t="s">
        <v>20</v>
      </c>
      <c r="D117" s="57" t="s">
        <v>217</v>
      </c>
      <c r="E117" s="57" t="s">
        <v>50</v>
      </c>
      <c r="F117" s="58">
        <v>1</v>
      </c>
      <c r="G117" s="60">
        <v>15.73</v>
      </c>
      <c r="H117" s="59">
        <v>0</v>
      </c>
      <c r="I117" s="60">
        <f>Ordini!$G117/(1+Ordini!$H117)</f>
        <v>15.73</v>
      </c>
      <c r="J117" s="60">
        <v>0</v>
      </c>
      <c r="K117" s="60">
        <v>6.41</v>
      </c>
      <c r="L117" s="60">
        <v>4.7699999999999996</v>
      </c>
      <c r="M117" s="58" t="s">
        <v>22</v>
      </c>
      <c r="N117" s="58"/>
      <c r="O117" s="61">
        <f>Ordini!$K117+Ordini!$J117+Ordini!$L117</f>
        <v>11.18</v>
      </c>
      <c r="P117" s="61">
        <f>Ordini!$I117-Ordini!$O117</f>
        <v>4.5500000000000007</v>
      </c>
      <c r="Q117" s="58" t="str">
        <f>IF(Ordini!$P117&lt;0,"DA EVITARE","OK")</f>
        <v>OK</v>
      </c>
      <c r="R117" s="58"/>
    </row>
    <row r="118" spans="1:18" s="62" customFormat="1" x14ac:dyDescent="0.25">
      <c r="A118" s="48" t="s">
        <v>97</v>
      </c>
      <c r="B118" s="49" t="s">
        <v>110</v>
      </c>
      <c r="C118" s="49" t="s">
        <v>20</v>
      </c>
      <c r="D118" s="49" t="s">
        <v>218</v>
      </c>
      <c r="E118" s="49" t="s">
        <v>60</v>
      </c>
      <c r="F118" s="50">
        <v>1</v>
      </c>
      <c r="G118" s="52">
        <v>76.27</v>
      </c>
      <c r="H118" s="51">
        <v>0</v>
      </c>
      <c r="I118" s="52">
        <f>Ordini!$G118/(1+Ordini!$H118)</f>
        <v>76.27</v>
      </c>
      <c r="J118" s="52">
        <v>0</v>
      </c>
      <c r="K118" s="52">
        <v>39.76</v>
      </c>
      <c r="L118" s="52">
        <v>8.01</v>
      </c>
      <c r="M118" s="50" t="s">
        <v>22</v>
      </c>
      <c r="N118" s="50"/>
      <c r="O118" s="53">
        <f>Ordini!$K118+Ordini!$J118+Ordini!$L118</f>
        <v>47.769999999999996</v>
      </c>
      <c r="P118" s="53">
        <f>Ordini!$I118-Ordini!$O118</f>
        <v>28.5</v>
      </c>
      <c r="Q118" s="50" t="str">
        <f>IF(Ordini!$P118&lt;0,"DA EVITARE","OK")</f>
        <v>OK</v>
      </c>
      <c r="R118" s="50"/>
    </row>
    <row r="119" spans="1:18" s="55" customFormat="1" x14ac:dyDescent="0.25">
      <c r="A119" s="56" t="s">
        <v>97</v>
      </c>
      <c r="B119" s="57" t="s">
        <v>110</v>
      </c>
      <c r="C119" s="57" t="s">
        <v>20</v>
      </c>
      <c r="D119" s="57" t="s">
        <v>219</v>
      </c>
      <c r="E119" s="57" t="s">
        <v>74</v>
      </c>
      <c r="F119" s="58">
        <v>1</v>
      </c>
      <c r="G119" s="60">
        <v>84.07</v>
      </c>
      <c r="H119" s="59">
        <v>0</v>
      </c>
      <c r="I119" s="60">
        <f>Ordini!$G119/(1+Ordini!$H119)</f>
        <v>84.07</v>
      </c>
      <c r="J119" s="60">
        <v>0</v>
      </c>
      <c r="K119" s="60">
        <v>50</v>
      </c>
      <c r="L119" s="60">
        <v>8.8000000000000007</v>
      </c>
      <c r="M119" s="58" t="s">
        <v>22</v>
      </c>
      <c r="N119" s="58"/>
      <c r="O119" s="61">
        <f>Ordini!$K119+Ordini!$J119+Ordini!$L119</f>
        <v>58.8</v>
      </c>
      <c r="P119" s="61">
        <f>Ordini!$I119-Ordini!$O119</f>
        <v>25.269999999999996</v>
      </c>
      <c r="Q119" s="58" t="str">
        <f>IF(Ordini!$P119&lt;0,"DA EVITARE","OK")</f>
        <v>OK</v>
      </c>
      <c r="R119" s="58"/>
    </row>
    <row r="120" spans="1:18" s="62" customFormat="1" x14ac:dyDescent="0.25">
      <c r="A120" s="48" t="s">
        <v>97</v>
      </c>
      <c r="B120" s="49" t="s">
        <v>110</v>
      </c>
      <c r="C120" s="49" t="s">
        <v>20</v>
      </c>
      <c r="D120" s="49" t="s">
        <v>220</v>
      </c>
      <c r="E120" s="49" t="s">
        <v>50</v>
      </c>
      <c r="F120" s="50">
        <v>1</v>
      </c>
      <c r="G120" s="52">
        <v>15.73</v>
      </c>
      <c r="H120" s="51">
        <v>0</v>
      </c>
      <c r="I120" s="52">
        <f>Ordini!$G120/(1+Ordini!$H120)</f>
        <v>15.73</v>
      </c>
      <c r="J120" s="52">
        <v>0</v>
      </c>
      <c r="K120" s="52">
        <v>6.41</v>
      </c>
      <c r="L120" s="52">
        <v>4.7699999999999996</v>
      </c>
      <c r="M120" s="50" t="s">
        <v>22</v>
      </c>
      <c r="N120" s="50"/>
      <c r="O120" s="53">
        <f>Ordini!$K120+Ordini!$J120+Ordini!$L120</f>
        <v>11.18</v>
      </c>
      <c r="P120" s="53">
        <f>Ordini!$I120-Ordini!$O120</f>
        <v>4.5500000000000007</v>
      </c>
      <c r="Q120" s="50" t="str">
        <f>IF(Ordini!$P120&lt;0,"DA EVITARE","OK")</f>
        <v>OK</v>
      </c>
      <c r="R120" s="50"/>
    </row>
    <row r="121" spans="1:18" s="55" customFormat="1" x14ac:dyDescent="0.25">
      <c r="A121" s="56" t="s">
        <v>97</v>
      </c>
      <c r="B121" s="57" t="s">
        <v>111</v>
      </c>
      <c r="C121" s="57" t="s">
        <v>20</v>
      </c>
      <c r="D121" s="57" t="s">
        <v>221</v>
      </c>
      <c r="E121" s="57" t="s">
        <v>60</v>
      </c>
      <c r="F121" s="58">
        <v>1</v>
      </c>
      <c r="G121" s="60">
        <v>82.9</v>
      </c>
      <c r="H121" s="59">
        <v>0</v>
      </c>
      <c r="I121" s="60">
        <f>Ordini!$G121/(1+Ordini!$H121)</f>
        <v>82.9</v>
      </c>
      <c r="J121" s="60">
        <v>6.03</v>
      </c>
      <c r="K121" s="60">
        <v>39.76</v>
      </c>
      <c r="L121" s="60">
        <v>8.01</v>
      </c>
      <c r="M121" s="58" t="s">
        <v>22</v>
      </c>
      <c r="N121" s="58"/>
      <c r="O121" s="61">
        <f>Ordini!$K121+Ordini!$J121+Ordini!$L121</f>
        <v>53.8</v>
      </c>
      <c r="P121" s="61">
        <f>Ordini!$I121-Ordini!$O121</f>
        <v>29.100000000000009</v>
      </c>
      <c r="Q121" s="58" t="str">
        <f>IF(Ordini!$P121&lt;0,"DA EVITARE","OK")</f>
        <v>OK</v>
      </c>
      <c r="R121" s="58"/>
    </row>
    <row r="122" spans="1:18" s="62" customFormat="1" x14ac:dyDescent="0.25">
      <c r="A122" s="48" t="s">
        <v>97</v>
      </c>
      <c r="B122" s="49" t="s">
        <v>111</v>
      </c>
      <c r="C122" s="49" t="s">
        <v>20</v>
      </c>
      <c r="D122" s="49" t="s">
        <v>222</v>
      </c>
      <c r="E122" s="49" t="s">
        <v>65</v>
      </c>
      <c r="F122" s="50">
        <v>1</v>
      </c>
      <c r="G122" s="52">
        <v>68</v>
      </c>
      <c r="H122" s="51">
        <v>0</v>
      </c>
      <c r="I122" s="52">
        <f>Ordini!$G122/(1+Ordini!$H122)</f>
        <v>68</v>
      </c>
      <c r="J122" s="52">
        <v>6.3699999999999992</v>
      </c>
      <c r="K122" s="52">
        <v>33.78</v>
      </c>
      <c r="L122" s="52">
        <v>5.87</v>
      </c>
      <c r="M122" s="50" t="s">
        <v>22</v>
      </c>
      <c r="N122" s="50"/>
      <c r="O122" s="53">
        <f>Ordini!$K122+Ordini!$J122+Ordini!$L122</f>
        <v>46.019999999999996</v>
      </c>
      <c r="P122" s="53">
        <f>Ordini!$I122-Ordini!$O122</f>
        <v>21.980000000000004</v>
      </c>
      <c r="Q122" s="50" t="str">
        <f>IF(Ordini!$P122&lt;0,"DA EVITARE","OK")</f>
        <v>OK</v>
      </c>
      <c r="R122" s="50"/>
    </row>
    <row r="123" spans="1:18" s="55" customFormat="1" x14ac:dyDescent="0.25">
      <c r="A123" s="56" t="s">
        <v>97</v>
      </c>
      <c r="B123" s="57" t="s">
        <v>111</v>
      </c>
      <c r="C123" s="57" t="s">
        <v>20</v>
      </c>
      <c r="D123" s="57" t="s">
        <v>223</v>
      </c>
      <c r="E123" s="57" t="s">
        <v>73</v>
      </c>
      <c r="F123" s="58">
        <v>1</v>
      </c>
      <c r="G123" s="60">
        <v>35</v>
      </c>
      <c r="H123" s="59">
        <v>0</v>
      </c>
      <c r="I123" s="60">
        <f>Ordini!$G123/(1+Ordini!$H123)</f>
        <v>35</v>
      </c>
      <c r="J123" s="60">
        <v>5.0199999999999996</v>
      </c>
      <c r="K123" s="60">
        <v>14.47</v>
      </c>
      <c r="L123" s="60">
        <v>7.1</v>
      </c>
      <c r="M123" s="58" t="s">
        <v>22</v>
      </c>
      <c r="N123" s="58"/>
      <c r="O123" s="61">
        <f>Ordini!$K123+Ordini!$J123+Ordini!$L123</f>
        <v>26.590000000000003</v>
      </c>
      <c r="P123" s="61">
        <f>Ordini!$I123-Ordini!$O123</f>
        <v>8.4099999999999966</v>
      </c>
      <c r="Q123" s="58" t="str">
        <f>IF(Ordini!$P123&lt;0,"DA EVITARE","OK")</f>
        <v>OK</v>
      </c>
      <c r="R123" s="58"/>
    </row>
    <row r="124" spans="1:18" s="62" customFormat="1" x14ac:dyDescent="0.25">
      <c r="A124" s="48" t="s">
        <v>98</v>
      </c>
      <c r="B124" s="49" t="s">
        <v>109</v>
      </c>
      <c r="C124" s="49" t="s">
        <v>20</v>
      </c>
      <c r="D124" s="49" t="s">
        <v>224</v>
      </c>
      <c r="E124" s="49" t="s">
        <v>65</v>
      </c>
      <c r="F124" s="50">
        <v>1</v>
      </c>
      <c r="G124" s="52">
        <v>68.989999999999995</v>
      </c>
      <c r="H124" s="51">
        <v>0</v>
      </c>
      <c r="I124" s="52">
        <f>Ordini!$G124/(1+Ordini!$H124)</f>
        <v>68.989999999999995</v>
      </c>
      <c r="J124" s="52">
        <v>13.01</v>
      </c>
      <c r="K124" s="52">
        <v>33.78</v>
      </c>
      <c r="L124" s="52">
        <v>5.87</v>
      </c>
      <c r="M124" s="50" t="s">
        <v>22</v>
      </c>
      <c r="N124" s="50"/>
      <c r="O124" s="53">
        <f>Ordini!$K124+Ordini!$J124+Ordini!$L124</f>
        <v>52.66</v>
      </c>
      <c r="P124" s="53">
        <f>Ordini!$I124-Ordini!$O124</f>
        <v>16.329999999999998</v>
      </c>
      <c r="Q124" s="50" t="str">
        <f>IF(Ordini!$P124&lt;0,"DA EVITARE","OK")</f>
        <v>OK</v>
      </c>
      <c r="R124" s="50"/>
    </row>
    <row r="125" spans="1:18" s="55" customFormat="1" x14ac:dyDescent="0.25">
      <c r="A125" s="56" t="s">
        <v>98</v>
      </c>
      <c r="B125" s="57" t="s">
        <v>109</v>
      </c>
      <c r="C125" s="57" t="s">
        <v>20</v>
      </c>
      <c r="D125" s="57" t="s">
        <v>225</v>
      </c>
      <c r="E125" s="57" t="s">
        <v>353</v>
      </c>
      <c r="F125" s="58">
        <v>1</v>
      </c>
      <c r="G125" s="60">
        <v>16.72</v>
      </c>
      <c r="H125" s="59">
        <v>0</v>
      </c>
      <c r="I125" s="60">
        <f>Ordini!$G125/(1+Ordini!$H125)</f>
        <v>16.72</v>
      </c>
      <c r="J125" s="60">
        <v>2.74</v>
      </c>
      <c r="K125" s="60">
        <v>5.1728000000000005</v>
      </c>
      <c r="L125" s="60">
        <v>4.3600000000000003</v>
      </c>
      <c r="M125" s="58" t="s">
        <v>22</v>
      </c>
      <c r="N125" s="58"/>
      <c r="O125" s="61">
        <f>Ordini!$K125+Ordini!$J125+Ordini!$L125</f>
        <v>12.2728</v>
      </c>
      <c r="P125" s="61">
        <f>Ordini!$I125-Ordini!$O125</f>
        <v>4.4471999999999987</v>
      </c>
      <c r="Q125" s="58" t="str">
        <f>IF(Ordini!$P125&lt;0,"DA EVITARE","OK")</f>
        <v>OK</v>
      </c>
      <c r="R125" s="58"/>
    </row>
    <row r="126" spans="1:18" s="62" customFormat="1" x14ac:dyDescent="0.25">
      <c r="A126" s="48" t="s">
        <v>98</v>
      </c>
      <c r="B126" s="49" t="s">
        <v>109</v>
      </c>
      <c r="C126" s="49" t="s">
        <v>20</v>
      </c>
      <c r="D126" s="49" t="s">
        <v>226</v>
      </c>
      <c r="E126" s="49" t="s">
        <v>65</v>
      </c>
      <c r="F126" s="50">
        <v>1</v>
      </c>
      <c r="G126" s="52">
        <v>68.989999999999995</v>
      </c>
      <c r="H126" s="51">
        <v>0</v>
      </c>
      <c r="I126" s="52">
        <f>Ordini!$G126/(1+Ordini!$H126)</f>
        <v>68.989999999999995</v>
      </c>
      <c r="J126" s="52">
        <v>13.01</v>
      </c>
      <c r="K126" s="52">
        <v>33.78</v>
      </c>
      <c r="L126" s="52">
        <v>5.87</v>
      </c>
      <c r="M126" s="50" t="s">
        <v>22</v>
      </c>
      <c r="N126" s="50"/>
      <c r="O126" s="53">
        <f>Ordini!$K126+Ordini!$J126+Ordini!$L126</f>
        <v>52.66</v>
      </c>
      <c r="P126" s="53">
        <f>Ordini!$I126-Ordini!$O126</f>
        <v>16.329999999999998</v>
      </c>
      <c r="Q126" s="50" t="str">
        <f>IF(Ordini!$P126&lt;0,"DA EVITARE","OK")</f>
        <v>OK</v>
      </c>
      <c r="R126" s="50"/>
    </row>
    <row r="127" spans="1:18" s="55" customFormat="1" x14ac:dyDescent="0.25">
      <c r="A127" s="56" t="s">
        <v>98</v>
      </c>
      <c r="B127" s="57" t="s">
        <v>109</v>
      </c>
      <c r="C127" s="57" t="s">
        <v>20</v>
      </c>
      <c r="D127" s="57" t="s">
        <v>227</v>
      </c>
      <c r="E127" s="57" t="s">
        <v>63</v>
      </c>
      <c r="F127" s="58">
        <v>1</v>
      </c>
      <c r="G127" s="60">
        <v>99</v>
      </c>
      <c r="H127" s="59">
        <v>0</v>
      </c>
      <c r="I127" s="60">
        <f>Ordini!$G127/(1+Ordini!$H127)</f>
        <v>99</v>
      </c>
      <c r="J127" s="60">
        <v>18.670000000000002</v>
      </c>
      <c r="K127" s="60">
        <v>42.629999999999995</v>
      </c>
      <c r="L127" s="60">
        <v>8.4</v>
      </c>
      <c r="M127" s="58" t="s">
        <v>22</v>
      </c>
      <c r="N127" s="58"/>
      <c r="O127" s="61">
        <f>Ordini!$K127+Ordini!$J127+Ordini!$L127</f>
        <v>69.7</v>
      </c>
      <c r="P127" s="61">
        <f>Ordini!$I127-Ordini!$O127</f>
        <v>29.299999999999997</v>
      </c>
      <c r="Q127" s="58" t="str">
        <f>IF(Ordini!$P127&lt;0,"DA EVITARE","OK")</f>
        <v>OK</v>
      </c>
      <c r="R127" s="58"/>
    </row>
    <row r="128" spans="1:18" s="62" customFormat="1" x14ac:dyDescent="0.25">
      <c r="A128" s="48" t="s">
        <v>98</v>
      </c>
      <c r="B128" s="49" t="s">
        <v>109</v>
      </c>
      <c r="C128" s="49" t="s">
        <v>20</v>
      </c>
      <c r="D128" s="49" t="s">
        <v>228</v>
      </c>
      <c r="E128" s="49" t="s">
        <v>74</v>
      </c>
      <c r="F128" s="50">
        <v>1</v>
      </c>
      <c r="G128" s="52">
        <v>99.99</v>
      </c>
      <c r="H128" s="51">
        <v>0</v>
      </c>
      <c r="I128" s="52">
        <f>Ordini!$G128/(1+Ordini!$H128)</f>
        <v>99.99</v>
      </c>
      <c r="J128" s="52">
        <v>18.850000000000001</v>
      </c>
      <c r="K128" s="52">
        <v>50</v>
      </c>
      <c r="L128" s="52">
        <v>8.8000000000000007</v>
      </c>
      <c r="M128" s="50" t="s">
        <v>22</v>
      </c>
      <c r="N128" s="50"/>
      <c r="O128" s="53">
        <f>Ordini!$K128+Ordini!$J128+Ordini!$L128</f>
        <v>77.649999999999991</v>
      </c>
      <c r="P128" s="53">
        <f>Ordini!$I128-Ordini!$O128</f>
        <v>22.340000000000003</v>
      </c>
      <c r="Q128" s="50" t="str">
        <f>IF(Ordini!$P128&lt;0,"DA EVITARE","OK")</f>
        <v>OK</v>
      </c>
      <c r="R128" s="50"/>
    </row>
    <row r="129" spans="1:18" s="55" customFormat="1" x14ac:dyDescent="0.25">
      <c r="A129" s="56" t="s">
        <v>98</v>
      </c>
      <c r="B129" s="57" t="s">
        <v>109</v>
      </c>
      <c r="C129" s="57" t="s">
        <v>20</v>
      </c>
      <c r="D129" s="57" t="s">
        <v>229</v>
      </c>
      <c r="E129" s="57" t="s">
        <v>74</v>
      </c>
      <c r="F129" s="58">
        <v>1</v>
      </c>
      <c r="G129" s="60">
        <v>99.99</v>
      </c>
      <c r="H129" s="59">
        <v>0</v>
      </c>
      <c r="I129" s="60">
        <f>Ordini!$G129/(1+Ordini!$H129)</f>
        <v>99.99</v>
      </c>
      <c r="J129" s="60">
        <v>18.850000000000001</v>
      </c>
      <c r="K129" s="60">
        <v>50</v>
      </c>
      <c r="L129" s="60">
        <v>8.8000000000000007</v>
      </c>
      <c r="M129" s="58" t="s">
        <v>22</v>
      </c>
      <c r="N129" s="58"/>
      <c r="O129" s="61">
        <f>Ordini!$K129+Ordini!$J129+Ordini!$L129</f>
        <v>77.649999999999991</v>
      </c>
      <c r="P129" s="61">
        <f>Ordini!$I129-Ordini!$O129</f>
        <v>22.340000000000003</v>
      </c>
      <c r="Q129" s="58" t="str">
        <f>IF(Ordini!$P129&lt;0,"DA EVITARE","OK")</f>
        <v>OK</v>
      </c>
      <c r="R129" s="58"/>
    </row>
    <row r="130" spans="1:18" s="62" customFormat="1" x14ac:dyDescent="0.25">
      <c r="A130" s="48" t="s">
        <v>98</v>
      </c>
      <c r="B130" s="49" t="s">
        <v>109</v>
      </c>
      <c r="C130" s="49" t="s">
        <v>20</v>
      </c>
      <c r="D130" s="49" t="s">
        <v>230</v>
      </c>
      <c r="E130" s="49" t="s">
        <v>60</v>
      </c>
      <c r="F130" s="50">
        <v>1</v>
      </c>
      <c r="G130" s="52">
        <v>87.99</v>
      </c>
      <c r="H130" s="51">
        <v>0</v>
      </c>
      <c r="I130" s="52">
        <f>Ordini!$G130/(1+Ordini!$H130)</f>
        <v>87.99</v>
      </c>
      <c r="J130" s="52">
        <v>14.38</v>
      </c>
      <c r="K130" s="52">
        <v>39.76</v>
      </c>
      <c r="L130" s="52">
        <v>8.01</v>
      </c>
      <c r="M130" s="50" t="s">
        <v>22</v>
      </c>
      <c r="N130" s="50"/>
      <c r="O130" s="53">
        <f>Ordini!$K130+Ordini!$J130+Ordini!$L130</f>
        <v>62.15</v>
      </c>
      <c r="P130" s="53">
        <f>Ordini!$I130-Ordini!$O130</f>
        <v>25.839999999999996</v>
      </c>
      <c r="Q130" s="50" t="str">
        <f>IF(Ordini!$P130&lt;0,"DA EVITARE","OK")</f>
        <v>OK</v>
      </c>
      <c r="R130" s="50"/>
    </row>
    <row r="131" spans="1:18" s="55" customFormat="1" x14ac:dyDescent="0.25">
      <c r="A131" s="56" t="s">
        <v>98</v>
      </c>
      <c r="B131" s="57" t="s">
        <v>109</v>
      </c>
      <c r="C131" s="57" t="s">
        <v>20</v>
      </c>
      <c r="D131" s="57" t="s">
        <v>231</v>
      </c>
      <c r="E131" s="57" t="s">
        <v>354</v>
      </c>
      <c r="F131" s="58">
        <v>1</v>
      </c>
      <c r="G131" s="60">
        <v>42.64</v>
      </c>
      <c r="H131" s="59">
        <v>0</v>
      </c>
      <c r="I131" s="60">
        <f>Ordini!$G131/(1+Ordini!$H131)</f>
        <v>42.64</v>
      </c>
      <c r="J131" s="60">
        <v>8.0500000000000007</v>
      </c>
      <c r="K131" s="60">
        <v>31.158799999999999</v>
      </c>
      <c r="L131" s="60">
        <v>4.8499999999999996</v>
      </c>
      <c r="M131" s="58" t="s">
        <v>22</v>
      </c>
      <c r="N131" s="58"/>
      <c r="O131" s="61">
        <f>Ordini!$K131+Ordini!$J131+Ordini!$L131</f>
        <v>44.058799999999998</v>
      </c>
      <c r="P131" s="61">
        <f>Ordini!$I131-Ordini!$O131</f>
        <v>-1.4187999999999974</v>
      </c>
      <c r="Q131" s="58" t="str">
        <f>IF(Ordini!$P131&lt;0,"DA EVITARE","OK")</f>
        <v>DA EVITARE</v>
      </c>
      <c r="R131" s="58"/>
    </row>
    <row r="132" spans="1:18" s="62" customFormat="1" x14ac:dyDescent="0.25">
      <c r="A132" s="48" t="s">
        <v>98</v>
      </c>
      <c r="B132" s="49" t="s">
        <v>109</v>
      </c>
      <c r="C132" s="49" t="s">
        <v>20</v>
      </c>
      <c r="D132" s="49" t="s">
        <v>232</v>
      </c>
      <c r="E132" s="49" t="s">
        <v>60</v>
      </c>
      <c r="F132" s="50">
        <v>1</v>
      </c>
      <c r="G132" s="52">
        <v>87.99</v>
      </c>
      <c r="H132" s="51">
        <v>0</v>
      </c>
      <c r="I132" s="52">
        <f>Ordini!$G132/(1+Ordini!$H132)</f>
        <v>87.99</v>
      </c>
      <c r="J132" s="52">
        <v>14.38</v>
      </c>
      <c r="K132" s="52">
        <v>39.76</v>
      </c>
      <c r="L132" s="52">
        <v>8.01</v>
      </c>
      <c r="M132" s="50" t="s">
        <v>22</v>
      </c>
      <c r="N132" s="50"/>
      <c r="O132" s="53">
        <f>Ordini!$K132+Ordini!$J132+Ordini!$L132</f>
        <v>62.15</v>
      </c>
      <c r="P132" s="53">
        <f>Ordini!$I132-Ordini!$O132</f>
        <v>25.839999999999996</v>
      </c>
      <c r="Q132" s="50" t="str">
        <f>IF(Ordini!$P132&lt;0,"DA EVITARE","OK")</f>
        <v>OK</v>
      </c>
      <c r="R132" s="50"/>
    </row>
    <row r="133" spans="1:18" s="55" customFormat="1" x14ac:dyDescent="0.25">
      <c r="A133" s="56" t="s">
        <v>98</v>
      </c>
      <c r="B133" s="57" t="s">
        <v>109</v>
      </c>
      <c r="C133" s="57" t="s">
        <v>20</v>
      </c>
      <c r="D133" s="57" t="s">
        <v>233</v>
      </c>
      <c r="E133" s="57" t="s">
        <v>74</v>
      </c>
      <c r="F133" s="58">
        <v>1</v>
      </c>
      <c r="G133" s="60">
        <v>99.99</v>
      </c>
      <c r="H133" s="59">
        <v>0</v>
      </c>
      <c r="I133" s="60">
        <f>Ordini!$G133/(1+Ordini!$H133)</f>
        <v>99.99</v>
      </c>
      <c r="J133" s="60">
        <v>18.850000000000001</v>
      </c>
      <c r="K133" s="60">
        <v>50</v>
      </c>
      <c r="L133" s="60">
        <v>8.8000000000000007</v>
      </c>
      <c r="M133" s="58" t="s">
        <v>22</v>
      </c>
      <c r="N133" s="58"/>
      <c r="O133" s="61">
        <f>Ordini!$K133+Ordini!$J133+Ordini!$L133</f>
        <v>77.649999999999991</v>
      </c>
      <c r="P133" s="61">
        <f>Ordini!$I133-Ordini!$O133</f>
        <v>22.340000000000003</v>
      </c>
      <c r="Q133" s="58" t="str">
        <f>IF(Ordini!$P133&lt;0,"DA EVITARE","OK")</f>
        <v>OK</v>
      </c>
      <c r="R133" s="58"/>
    </row>
    <row r="134" spans="1:18" s="62" customFormat="1" x14ac:dyDescent="0.25">
      <c r="A134" s="48" t="s">
        <v>98</v>
      </c>
      <c r="B134" s="49" t="s">
        <v>109</v>
      </c>
      <c r="C134" s="49" t="s">
        <v>20</v>
      </c>
      <c r="D134" s="49" t="s">
        <v>234</v>
      </c>
      <c r="E134" s="49" t="s">
        <v>74</v>
      </c>
      <c r="F134" s="50">
        <v>1</v>
      </c>
      <c r="G134" s="52">
        <v>99.99</v>
      </c>
      <c r="H134" s="51">
        <v>0</v>
      </c>
      <c r="I134" s="52">
        <f>Ordini!$G134/(1+Ordini!$H134)</f>
        <v>99.99</v>
      </c>
      <c r="J134" s="52">
        <v>18.850000000000001</v>
      </c>
      <c r="K134" s="52">
        <v>50</v>
      </c>
      <c r="L134" s="52">
        <v>8.8000000000000007</v>
      </c>
      <c r="M134" s="50" t="s">
        <v>22</v>
      </c>
      <c r="N134" s="50"/>
      <c r="O134" s="53">
        <f>Ordini!$K134+Ordini!$J134+Ordini!$L134</f>
        <v>77.649999999999991</v>
      </c>
      <c r="P134" s="53">
        <f>Ordini!$I134-Ordini!$O134</f>
        <v>22.340000000000003</v>
      </c>
      <c r="Q134" s="50" t="str">
        <f>IF(Ordini!$P134&lt;0,"DA EVITARE","OK")</f>
        <v>OK</v>
      </c>
      <c r="R134" s="50"/>
    </row>
    <row r="135" spans="1:18" s="55" customFormat="1" x14ac:dyDescent="0.25">
      <c r="A135" s="56" t="s">
        <v>98</v>
      </c>
      <c r="B135" s="57" t="s">
        <v>109</v>
      </c>
      <c r="C135" s="57" t="s">
        <v>20</v>
      </c>
      <c r="D135" s="57" t="s">
        <v>235</v>
      </c>
      <c r="E135" s="57" t="s">
        <v>65</v>
      </c>
      <c r="F135" s="58">
        <v>1</v>
      </c>
      <c r="G135" s="60">
        <v>68.989999999999995</v>
      </c>
      <c r="H135" s="59">
        <v>0</v>
      </c>
      <c r="I135" s="60">
        <f>Ordini!$G135/(1+Ordini!$H135)</f>
        <v>68.989999999999995</v>
      </c>
      <c r="J135" s="60">
        <v>13.01</v>
      </c>
      <c r="K135" s="60">
        <v>33.78</v>
      </c>
      <c r="L135" s="60">
        <v>5.87</v>
      </c>
      <c r="M135" s="58" t="s">
        <v>22</v>
      </c>
      <c r="N135" s="58"/>
      <c r="O135" s="61">
        <f>Ordini!$K135+Ordini!$J135+Ordini!$L135</f>
        <v>52.66</v>
      </c>
      <c r="P135" s="61">
        <f>Ordini!$I135-Ordini!$O135</f>
        <v>16.329999999999998</v>
      </c>
      <c r="Q135" s="58" t="str">
        <f>IF(Ordini!$P135&lt;0,"DA EVITARE","OK")</f>
        <v>OK</v>
      </c>
      <c r="R135" s="58"/>
    </row>
    <row r="136" spans="1:18" s="62" customFormat="1" x14ac:dyDescent="0.25">
      <c r="A136" s="48" t="s">
        <v>98</v>
      </c>
      <c r="B136" s="49" t="s">
        <v>109</v>
      </c>
      <c r="C136" s="49" t="s">
        <v>20</v>
      </c>
      <c r="D136" s="49" t="s">
        <v>236</v>
      </c>
      <c r="E136" s="49" t="s">
        <v>60</v>
      </c>
      <c r="F136" s="50">
        <v>1</v>
      </c>
      <c r="G136" s="52">
        <v>87.99</v>
      </c>
      <c r="H136" s="51">
        <v>0</v>
      </c>
      <c r="I136" s="52">
        <f>Ordini!$G136/(1+Ordini!$H136)</f>
        <v>87.99</v>
      </c>
      <c r="J136" s="52">
        <v>14.38</v>
      </c>
      <c r="K136" s="52">
        <v>39.76</v>
      </c>
      <c r="L136" s="52">
        <v>8.01</v>
      </c>
      <c r="M136" s="50" t="s">
        <v>22</v>
      </c>
      <c r="N136" s="50"/>
      <c r="O136" s="53">
        <f>Ordini!$K136+Ordini!$J136+Ordini!$L136</f>
        <v>62.15</v>
      </c>
      <c r="P136" s="53">
        <f>Ordini!$I136-Ordini!$O136</f>
        <v>25.839999999999996</v>
      </c>
      <c r="Q136" s="50" t="str">
        <f>IF(Ordini!$P136&lt;0,"DA EVITARE","OK")</f>
        <v>OK</v>
      </c>
      <c r="R136" s="50"/>
    </row>
    <row r="137" spans="1:18" s="55" customFormat="1" x14ac:dyDescent="0.25">
      <c r="A137" s="56" t="s">
        <v>98</v>
      </c>
      <c r="B137" s="57" t="s">
        <v>109</v>
      </c>
      <c r="C137" s="57" t="s">
        <v>20</v>
      </c>
      <c r="D137" s="57" t="s">
        <v>237</v>
      </c>
      <c r="E137" s="57" t="s">
        <v>78</v>
      </c>
      <c r="F137" s="58">
        <v>1</v>
      </c>
      <c r="G137" s="60">
        <v>39.99</v>
      </c>
      <c r="H137" s="59">
        <v>0</v>
      </c>
      <c r="I137" s="60">
        <f>Ordini!$G137/(1+Ordini!$H137)</f>
        <v>39.99</v>
      </c>
      <c r="J137" s="60">
        <v>7.54</v>
      </c>
      <c r="K137" s="60">
        <v>15.100000000000001</v>
      </c>
      <c r="L137" s="60">
        <v>4.8499999999999996</v>
      </c>
      <c r="M137" s="58" t="s">
        <v>22</v>
      </c>
      <c r="N137" s="58"/>
      <c r="O137" s="61">
        <f>Ordini!$K137+Ordini!$J137+Ordini!$L137</f>
        <v>27.490000000000002</v>
      </c>
      <c r="P137" s="61">
        <f>Ordini!$I137-Ordini!$O137</f>
        <v>12.5</v>
      </c>
      <c r="Q137" s="58" t="str">
        <f>IF(Ordini!$P137&lt;0,"DA EVITARE","OK")</f>
        <v>OK</v>
      </c>
      <c r="R137" s="58"/>
    </row>
    <row r="138" spans="1:18" s="62" customFormat="1" x14ac:dyDescent="0.25">
      <c r="A138" s="48" t="s">
        <v>98</v>
      </c>
      <c r="B138" s="49" t="s">
        <v>109</v>
      </c>
      <c r="C138" s="49" t="s">
        <v>20</v>
      </c>
      <c r="D138" s="49" t="s">
        <v>238</v>
      </c>
      <c r="E138" s="49" t="s">
        <v>78</v>
      </c>
      <c r="F138" s="50">
        <v>1</v>
      </c>
      <c r="G138" s="52">
        <v>39.99</v>
      </c>
      <c r="H138" s="51">
        <v>0</v>
      </c>
      <c r="I138" s="52">
        <f>Ordini!$G138/(1+Ordini!$H138)</f>
        <v>39.99</v>
      </c>
      <c r="J138" s="52">
        <v>7.54</v>
      </c>
      <c r="K138" s="52">
        <v>15.100000000000001</v>
      </c>
      <c r="L138" s="52">
        <v>4.8499999999999996</v>
      </c>
      <c r="M138" s="50" t="s">
        <v>22</v>
      </c>
      <c r="N138" s="50"/>
      <c r="O138" s="53">
        <f>Ordini!$K138+Ordini!$J138+Ordini!$L138</f>
        <v>27.490000000000002</v>
      </c>
      <c r="P138" s="53">
        <f>Ordini!$I138-Ordini!$O138</f>
        <v>12.5</v>
      </c>
      <c r="Q138" s="50" t="str">
        <f>IF(Ordini!$P138&lt;0,"DA EVITARE","OK")</f>
        <v>OK</v>
      </c>
      <c r="R138" s="50"/>
    </row>
    <row r="139" spans="1:18" s="55" customFormat="1" x14ac:dyDescent="0.25">
      <c r="A139" s="56" t="s">
        <v>98</v>
      </c>
      <c r="B139" s="57" t="s">
        <v>109</v>
      </c>
      <c r="C139" s="57" t="s">
        <v>20</v>
      </c>
      <c r="D139" s="57" t="s">
        <v>239</v>
      </c>
      <c r="E139" s="57" t="s">
        <v>74</v>
      </c>
      <c r="F139" s="58">
        <v>1</v>
      </c>
      <c r="G139" s="60">
        <v>99.99</v>
      </c>
      <c r="H139" s="59">
        <v>0</v>
      </c>
      <c r="I139" s="60">
        <f>Ordini!$G139/(1+Ordini!$H139)</f>
        <v>99.99</v>
      </c>
      <c r="J139" s="60">
        <v>18.850000000000001</v>
      </c>
      <c r="K139" s="60">
        <v>50</v>
      </c>
      <c r="L139" s="60">
        <v>8.8000000000000007</v>
      </c>
      <c r="M139" s="58" t="s">
        <v>22</v>
      </c>
      <c r="N139" s="58"/>
      <c r="O139" s="61">
        <f>Ordini!$K139+Ordini!$J139+Ordini!$L139</f>
        <v>77.649999999999991</v>
      </c>
      <c r="P139" s="61">
        <f>Ordini!$I139-Ordini!$O139</f>
        <v>22.340000000000003</v>
      </c>
      <c r="Q139" s="58" t="str">
        <f>IF(Ordini!$P139&lt;0,"DA EVITARE","OK")</f>
        <v>OK</v>
      </c>
      <c r="R139" s="58"/>
    </row>
    <row r="140" spans="1:18" s="62" customFormat="1" x14ac:dyDescent="0.25">
      <c r="A140" s="48" t="s">
        <v>98</v>
      </c>
      <c r="B140" s="49" t="s">
        <v>109</v>
      </c>
      <c r="C140" s="49" t="s">
        <v>20</v>
      </c>
      <c r="D140" s="49" t="s">
        <v>240</v>
      </c>
      <c r="E140" s="49" t="s">
        <v>74</v>
      </c>
      <c r="F140" s="50">
        <v>1</v>
      </c>
      <c r="G140" s="52">
        <v>99.99</v>
      </c>
      <c r="H140" s="51">
        <v>0</v>
      </c>
      <c r="I140" s="52">
        <f>Ordini!$G140/(1+Ordini!$H140)</f>
        <v>99.99</v>
      </c>
      <c r="J140" s="52">
        <v>18.850000000000001</v>
      </c>
      <c r="K140" s="52">
        <v>50</v>
      </c>
      <c r="L140" s="52">
        <v>8.8000000000000007</v>
      </c>
      <c r="M140" s="50" t="s">
        <v>22</v>
      </c>
      <c r="N140" s="50"/>
      <c r="O140" s="53">
        <f>Ordini!$K140+Ordini!$J140+Ordini!$L140</f>
        <v>77.649999999999991</v>
      </c>
      <c r="P140" s="53">
        <f>Ordini!$I140-Ordini!$O140</f>
        <v>22.340000000000003</v>
      </c>
      <c r="Q140" s="50" t="str">
        <f>IF(Ordini!$P140&lt;0,"DA EVITARE","OK")</f>
        <v>OK</v>
      </c>
      <c r="R140" s="50"/>
    </row>
    <row r="141" spans="1:18" s="55" customFormat="1" x14ac:dyDescent="0.25">
      <c r="A141" s="56" t="s">
        <v>98</v>
      </c>
      <c r="B141" s="57" t="s">
        <v>109</v>
      </c>
      <c r="C141" s="57" t="s">
        <v>20</v>
      </c>
      <c r="D141" s="57" t="s">
        <v>241</v>
      </c>
      <c r="E141" s="57" t="s">
        <v>78</v>
      </c>
      <c r="F141" s="58">
        <v>1</v>
      </c>
      <c r="G141" s="60">
        <v>39.99</v>
      </c>
      <c r="H141" s="59">
        <v>0</v>
      </c>
      <c r="I141" s="60">
        <f>Ordini!$G141/(1+Ordini!$H141)</f>
        <v>39.99</v>
      </c>
      <c r="J141" s="60">
        <v>7.54</v>
      </c>
      <c r="K141" s="60">
        <v>15.100000000000001</v>
      </c>
      <c r="L141" s="60">
        <v>4.8499999999999996</v>
      </c>
      <c r="M141" s="58" t="s">
        <v>22</v>
      </c>
      <c r="N141" s="58"/>
      <c r="O141" s="61">
        <f>Ordini!$K141+Ordini!$J141+Ordini!$L141</f>
        <v>27.490000000000002</v>
      </c>
      <c r="P141" s="61">
        <f>Ordini!$I141-Ordini!$O141</f>
        <v>12.5</v>
      </c>
      <c r="Q141" s="58" t="str">
        <f>IF(Ordini!$P141&lt;0,"DA EVITARE","OK")</f>
        <v>OK</v>
      </c>
      <c r="R141" s="58"/>
    </row>
    <row r="142" spans="1:18" s="62" customFormat="1" x14ac:dyDescent="0.25">
      <c r="A142" s="48" t="s">
        <v>98</v>
      </c>
      <c r="B142" s="49" t="s">
        <v>109</v>
      </c>
      <c r="C142" s="49" t="s">
        <v>20</v>
      </c>
      <c r="D142" s="49" t="s">
        <v>242</v>
      </c>
      <c r="E142" s="49" t="s">
        <v>74</v>
      </c>
      <c r="F142" s="50">
        <v>1</v>
      </c>
      <c r="G142" s="52">
        <v>99.99</v>
      </c>
      <c r="H142" s="51">
        <v>0</v>
      </c>
      <c r="I142" s="52">
        <f>Ordini!$G142/(1+Ordini!$H142)</f>
        <v>99.99</v>
      </c>
      <c r="J142" s="52">
        <v>18.850000000000001</v>
      </c>
      <c r="K142" s="52">
        <v>50</v>
      </c>
      <c r="L142" s="52">
        <v>8.8000000000000007</v>
      </c>
      <c r="M142" s="50" t="s">
        <v>22</v>
      </c>
      <c r="N142" s="50"/>
      <c r="O142" s="53">
        <f>Ordini!$K142+Ordini!$J142+Ordini!$L142</f>
        <v>77.649999999999991</v>
      </c>
      <c r="P142" s="53">
        <f>Ordini!$I142-Ordini!$O142</f>
        <v>22.340000000000003</v>
      </c>
      <c r="Q142" s="50" t="str">
        <f>IF(Ordini!$P142&lt;0,"DA EVITARE","OK")</f>
        <v>OK</v>
      </c>
      <c r="R142" s="50"/>
    </row>
    <row r="143" spans="1:18" s="55" customFormat="1" x14ac:dyDescent="0.25">
      <c r="A143" s="56" t="s">
        <v>98</v>
      </c>
      <c r="B143" s="57" t="s">
        <v>110</v>
      </c>
      <c r="C143" s="57" t="s">
        <v>20</v>
      </c>
      <c r="D143" s="57" t="s">
        <v>243</v>
      </c>
      <c r="E143" s="57" t="s">
        <v>56</v>
      </c>
      <c r="F143" s="58">
        <v>1</v>
      </c>
      <c r="G143" s="60">
        <v>18.079999999999998</v>
      </c>
      <c r="H143" s="59">
        <v>0</v>
      </c>
      <c r="I143" s="60">
        <f>Ordini!$G143/(1+Ordini!$H143)</f>
        <v>18.079999999999998</v>
      </c>
      <c r="J143" s="60">
        <v>0</v>
      </c>
      <c r="K143" s="60">
        <v>6.62</v>
      </c>
      <c r="L143" s="60">
        <v>4.7699999999999996</v>
      </c>
      <c r="M143" s="58" t="s">
        <v>22</v>
      </c>
      <c r="N143" s="58"/>
      <c r="O143" s="61">
        <f>Ordini!$K143+Ordini!$J143+Ordini!$L143</f>
        <v>11.39</v>
      </c>
      <c r="P143" s="61">
        <f>Ordini!$I143-Ordini!$O143</f>
        <v>6.6899999999999977</v>
      </c>
      <c r="Q143" s="58" t="str">
        <f>IF(Ordini!$P143&lt;0,"DA EVITARE","OK")</f>
        <v>OK</v>
      </c>
      <c r="R143" s="58"/>
    </row>
    <row r="144" spans="1:18" s="62" customFormat="1" x14ac:dyDescent="0.25">
      <c r="A144" s="48" t="s">
        <v>98</v>
      </c>
      <c r="B144" s="49" t="s">
        <v>110</v>
      </c>
      <c r="C144" s="49" t="s">
        <v>20</v>
      </c>
      <c r="D144" s="49" t="s">
        <v>244</v>
      </c>
      <c r="E144" s="49" t="s">
        <v>50</v>
      </c>
      <c r="F144" s="50">
        <v>1</v>
      </c>
      <c r="G144" s="52">
        <v>15.73</v>
      </c>
      <c r="H144" s="51">
        <v>0</v>
      </c>
      <c r="I144" s="52">
        <f>Ordini!$G144/(1+Ordini!$H144)</f>
        <v>15.73</v>
      </c>
      <c r="J144" s="52">
        <v>0</v>
      </c>
      <c r="K144" s="52">
        <v>6.41</v>
      </c>
      <c r="L144" s="52">
        <v>4.7699999999999996</v>
      </c>
      <c r="M144" s="50" t="s">
        <v>22</v>
      </c>
      <c r="N144" s="50"/>
      <c r="O144" s="53">
        <f>Ordini!$K144+Ordini!$J144+Ordini!$L144</f>
        <v>11.18</v>
      </c>
      <c r="P144" s="53">
        <f>Ordini!$I144-Ordini!$O144</f>
        <v>4.5500000000000007</v>
      </c>
      <c r="Q144" s="50" t="str">
        <f>IF(Ordini!$P144&lt;0,"DA EVITARE","OK")</f>
        <v>OK</v>
      </c>
      <c r="R144" s="50"/>
    </row>
    <row r="145" spans="1:18" s="55" customFormat="1" x14ac:dyDescent="0.25">
      <c r="A145" s="56" t="s">
        <v>98</v>
      </c>
      <c r="B145" s="57" t="s">
        <v>110</v>
      </c>
      <c r="C145" s="57" t="s">
        <v>20</v>
      </c>
      <c r="D145" s="57" t="s">
        <v>245</v>
      </c>
      <c r="E145" s="57" t="s">
        <v>56</v>
      </c>
      <c r="F145" s="58">
        <v>1</v>
      </c>
      <c r="G145" s="60">
        <v>19.02</v>
      </c>
      <c r="H145" s="59">
        <v>0</v>
      </c>
      <c r="I145" s="60">
        <f>Ordini!$G145/(1+Ordini!$H145)</f>
        <v>19.02</v>
      </c>
      <c r="J145" s="60">
        <v>0</v>
      </c>
      <c r="K145" s="60">
        <v>6.62</v>
      </c>
      <c r="L145" s="60">
        <v>4.7699999999999996</v>
      </c>
      <c r="M145" s="58" t="s">
        <v>22</v>
      </c>
      <c r="N145" s="58"/>
      <c r="O145" s="61">
        <f>Ordini!$K145+Ordini!$J145+Ordini!$L145</f>
        <v>11.39</v>
      </c>
      <c r="P145" s="61">
        <f>Ordini!$I145-Ordini!$O145</f>
        <v>7.629999999999999</v>
      </c>
      <c r="Q145" s="58" t="str">
        <f>IF(Ordini!$P145&lt;0,"DA EVITARE","OK")</f>
        <v>OK</v>
      </c>
      <c r="R145" s="58"/>
    </row>
    <row r="146" spans="1:18" s="62" customFormat="1" x14ac:dyDescent="0.25">
      <c r="A146" s="48" t="s">
        <v>98</v>
      </c>
      <c r="B146" s="49" t="s">
        <v>110</v>
      </c>
      <c r="C146" s="49" t="s">
        <v>20</v>
      </c>
      <c r="D146" s="49" t="s">
        <v>246</v>
      </c>
      <c r="E146" s="49" t="s">
        <v>394</v>
      </c>
      <c r="F146" s="50">
        <v>1</v>
      </c>
      <c r="G146" s="52"/>
      <c r="H146" s="51">
        <v>0</v>
      </c>
      <c r="I146" s="52">
        <f>Ordini!$G146/(1+Ordini!$H146)</f>
        <v>0</v>
      </c>
      <c r="J146" s="52">
        <v>0</v>
      </c>
      <c r="K146" s="52">
        <v>10.918999999999999</v>
      </c>
      <c r="L146" s="52">
        <v>8.7200000000000006</v>
      </c>
      <c r="M146" s="50" t="s">
        <v>24</v>
      </c>
      <c r="N146" s="50"/>
      <c r="O146" s="53">
        <f>Ordini!$K146+Ordini!$J146+Ordini!$L146</f>
        <v>19.638999999999999</v>
      </c>
      <c r="P146" s="53">
        <f>Ordini!$I146-Ordini!$O146</f>
        <v>-19.638999999999999</v>
      </c>
      <c r="Q146" s="50" t="str">
        <f>IF(Ordini!$P146&lt;0,"DA EVITARE","OK")</f>
        <v>DA EVITARE</v>
      </c>
      <c r="R146" s="50"/>
    </row>
    <row r="147" spans="1:18" s="55" customFormat="1" x14ac:dyDescent="0.25">
      <c r="A147" s="56" t="s">
        <v>98</v>
      </c>
      <c r="B147" s="57" t="s">
        <v>110</v>
      </c>
      <c r="C147" s="57" t="s">
        <v>20</v>
      </c>
      <c r="D147" s="57" t="s">
        <v>247</v>
      </c>
      <c r="E147" s="57" t="s">
        <v>56</v>
      </c>
      <c r="F147" s="58">
        <v>1</v>
      </c>
      <c r="G147" s="60">
        <v>18.21</v>
      </c>
      <c r="H147" s="59">
        <v>0</v>
      </c>
      <c r="I147" s="60">
        <f>Ordini!$G147/(1+Ordini!$H147)</f>
        <v>18.21</v>
      </c>
      <c r="J147" s="60">
        <v>0</v>
      </c>
      <c r="K147" s="60">
        <v>6.62</v>
      </c>
      <c r="L147" s="60">
        <v>4.7699999999999996</v>
      </c>
      <c r="M147" s="58" t="s">
        <v>22</v>
      </c>
      <c r="N147" s="58"/>
      <c r="O147" s="61">
        <f>Ordini!$K147+Ordini!$J147+Ordini!$L147</f>
        <v>11.39</v>
      </c>
      <c r="P147" s="61">
        <f>Ordini!$I147-Ordini!$O147</f>
        <v>6.82</v>
      </c>
      <c r="Q147" s="58" t="str">
        <f>IF(Ordini!$P147&lt;0,"DA EVITARE","OK")</f>
        <v>OK</v>
      </c>
      <c r="R147" s="58"/>
    </row>
    <row r="148" spans="1:18" s="62" customFormat="1" x14ac:dyDescent="0.25">
      <c r="A148" s="48" t="s">
        <v>98</v>
      </c>
      <c r="B148" s="49" t="s">
        <v>110</v>
      </c>
      <c r="C148" s="49" t="s">
        <v>20</v>
      </c>
      <c r="D148" s="49" t="s">
        <v>248</v>
      </c>
      <c r="E148" s="49" t="s">
        <v>60</v>
      </c>
      <c r="F148" s="50">
        <v>1</v>
      </c>
      <c r="G148" s="52">
        <v>76.27</v>
      </c>
      <c r="H148" s="51">
        <v>0</v>
      </c>
      <c r="I148" s="52">
        <f>Ordini!$G148/(1+Ordini!$H148)</f>
        <v>76.27</v>
      </c>
      <c r="J148" s="52">
        <v>0</v>
      </c>
      <c r="K148" s="52">
        <v>39.76</v>
      </c>
      <c r="L148" s="52">
        <v>8.01</v>
      </c>
      <c r="M148" s="50" t="s">
        <v>22</v>
      </c>
      <c r="N148" s="50"/>
      <c r="O148" s="53">
        <f>Ordini!$K148+Ordini!$J148+Ordini!$L148</f>
        <v>47.769999999999996</v>
      </c>
      <c r="P148" s="53">
        <f>Ordini!$I148-Ordini!$O148</f>
        <v>28.5</v>
      </c>
      <c r="Q148" s="50" t="str">
        <f>IF(Ordini!$P148&lt;0,"DA EVITARE","OK")</f>
        <v>OK</v>
      </c>
      <c r="R148" s="50"/>
    </row>
    <row r="149" spans="1:18" s="55" customFormat="1" x14ac:dyDescent="0.25">
      <c r="A149" s="56" t="s">
        <v>98</v>
      </c>
      <c r="B149" s="57" t="s">
        <v>110</v>
      </c>
      <c r="C149" s="57" t="s">
        <v>20</v>
      </c>
      <c r="D149" s="57" t="s">
        <v>249</v>
      </c>
      <c r="E149" s="57" t="s">
        <v>63</v>
      </c>
      <c r="F149" s="58">
        <v>1</v>
      </c>
      <c r="G149" s="60">
        <v>84.97</v>
      </c>
      <c r="H149" s="59">
        <v>0</v>
      </c>
      <c r="I149" s="60">
        <f>Ordini!$G149/(1+Ordini!$H149)</f>
        <v>84.97</v>
      </c>
      <c r="J149" s="60">
        <v>0</v>
      </c>
      <c r="K149" s="60">
        <v>42.629999999999995</v>
      </c>
      <c r="L149" s="60">
        <v>8.4</v>
      </c>
      <c r="M149" s="58" t="s">
        <v>22</v>
      </c>
      <c r="N149" s="58"/>
      <c r="O149" s="61">
        <f>Ordini!$K149+Ordini!$J149+Ordini!$L149</f>
        <v>51.029999999999994</v>
      </c>
      <c r="P149" s="61">
        <f>Ordini!$I149-Ordini!$O149</f>
        <v>33.940000000000005</v>
      </c>
      <c r="Q149" s="58" t="str">
        <f>IF(Ordini!$P149&lt;0,"DA EVITARE","OK")</f>
        <v>OK</v>
      </c>
      <c r="R149" s="58"/>
    </row>
    <row r="150" spans="1:18" s="62" customFormat="1" x14ac:dyDescent="0.25">
      <c r="A150" s="48" t="s">
        <v>98</v>
      </c>
      <c r="B150" s="49" t="s">
        <v>111</v>
      </c>
      <c r="C150" s="49" t="s">
        <v>20</v>
      </c>
      <c r="D150" s="49" t="s">
        <v>250</v>
      </c>
      <c r="E150" s="49" t="s">
        <v>74</v>
      </c>
      <c r="F150" s="50">
        <v>1</v>
      </c>
      <c r="G150" s="52">
        <v>99.99</v>
      </c>
      <c r="H150" s="51">
        <v>0</v>
      </c>
      <c r="I150" s="52">
        <f>Ordini!$G150/(1+Ordini!$H150)</f>
        <v>99.99</v>
      </c>
      <c r="J150" s="52">
        <v>9.1999999999999993</v>
      </c>
      <c r="K150" s="52">
        <v>50</v>
      </c>
      <c r="L150" s="52">
        <v>8.8000000000000007</v>
      </c>
      <c r="M150" s="50" t="s">
        <v>22</v>
      </c>
      <c r="N150" s="50"/>
      <c r="O150" s="53">
        <f>Ordini!$K150+Ordini!$J150+Ordini!$L150</f>
        <v>68</v>
      </c>
      <c r="P150" s="53">
        <f>Ordini!$I150-Ordini!$O150</f>
        <v>31.989999999999995</v>
      </c>
      <c r="Q150" s="50" t="str">
        <f>IF(Ordini!$P150&lt;0,"DA EVITARE","OK")</f>
        <v>OK</v>
      </c>
      <c r="R150" s="50"/>
    </row>
    <row r="151" spans="1:18" s="55" customFormat="1" x14ac:dyDescent="0.25">
      <c r="A151" s="56" t="s">
        <v>98</v>
      </c>
      <c r="B151" s="57" t="s">
        <v>111</v>
      </c>
      <c r="C151" s="57" t="s">
        <v>20</v>
      </c>
      <c r="D151" s="57" t="s">
        <v>251</v>
      </c>
      <c r="E151" s="57" t="s">
        <v>72</v>
      </c>
      <c r="F151" s="58">
        <v>1</v>
      </c>
      <c r="G151" s="60">
        <v>23.72</v>
      </c>
      <c r="H151" s="59">
        <v>0</v>
      </c>
      <c r="I151" s="60">
        <f>Ordini!$G151/(1+Ordini!$H151)</f>
        <v>23.72</v>
      </c>
      <c r="J151" s="60">
        <v>3.75</v>
      </c>
      <c r="K151" s="60">
        <v>6.18</v>
      </c>
      <c r="L151" s="60">
        <v>4.7699999999999996</v>
      </c>
      <c r="M151" s="58" t="s">
        <v>22</v>
      </c>
      <c r="N151" s="58"/>
      <c r="O151" s="61">
        <f>Ordini!$K151+Ordini!$J151+Ordini!$L151</f>
        <v>14.7</v>
      </c>
      <c r="P151" s="61">
        <f>Ordini!$I151-Ordini!$O151</f>
        <v>9.02</v>
      </c>
      <c r="Q151" s="58" t="str">
        <f>IF(Ordini!$P151&lt;0,"DA EVITARE","OK")</f>
        <v>OK</v>
      </c>
      <c r="R151" s="58"/>
    </row>
    <row r="152" spans="1:18" s="62" customFormat="1" x14ac:dyDescent="0.25">
      <c r="A152" s="48">
        <v>46132</v>
      </c>
      <c r="B152" s="49" t="s">
        <v>365</v>
      </c>
      <c r="C152" s="49" t="s">
        <v>368</v>
      </c>
      <c r="D152" s="49" t="s">
        <v>377</v>
      </c>
      <c r="E152" s="49" t="s">
        <v>390</v>
      </c>
      <c r="F152" s="50">
        <v>1</v>
      </c>
      <c r="G152" s="52">
        <v>131.63999999999999</v>
      </c>
      <c r="H152" s="51">
        <v>0</v>
      </c>
      <c r="I152" s="52">
        <f>Ordini!$G152/(1+Ordini!$H152)</f>
        <v>131.63999999999999</v>
      </c>
      <c r="J152" s="52">
        <v>17.11</v>
      </c>
      <c r="K152" s="52">
        <v>79.28779999999999</v>
      </c>
      <c r="L152" s="52">
        <v>8.08</v>
      </c>
      <c r="M152" s="50" t="s">
        <v>22</v>
      </c>
      <c r="N152" s="50"/>
      <c r="O152" s="53">
        <f>Ordini!$K152+Ordini!$J152+Ordini!$L152</f>
        <v>104.47779999999999</v>
      </c>
      <c r="P152" s="53">
        <f>Ordini!$I152-Ordini!$O152</f>
        <v>27.162199999999999</v>
      </c>
      <c r="Q152" s="50" t="str">
        <f>IF(Ordini!$P152&lt;0,"DA EVITARE","OK")</f>
        <v>OK</v>
      </c>
      <c r="R152" s="50"/>
    </row>
    <row r="153" spans="1:18" s="55" customFormat="1" x14ac:dyDescent="0.25">
      <c r="A153" s="56">
        <v>46132</v>
      </c>
      <c r="B153" s="57" t="s">
        <v>365</v>
      </c>
      <c r="C153" s="57" t="s">
        <v>368</v>
      </c>
      <c r="D153" s="57" t="s">
        <v>378</v>
      </c>
      <c r="E153" s="57" t="s">
        <v>391</v>
      </c>
      <c r="F153" s="58">
        <v>1</v>
      </c>
      <c r="G153" s="60">
        <v>71.989999999999995</v>
      </c>
      <c r="H153" s="59">
        <v>0</v>
      </c>
      <c r="I153" s="60">
        <f>Ordini!$G153/(1+Ordini!$H153)</f>
        <v>71.989999999999995</v>
      </c>
      <c r="J153" s="60">
        <v>9.36</v>
      </c>
      <c r="K153" s="60">
        <v>41.419000000000004</v>
      </c>
      <c r="L153" s="60">
        <v>7.35</v>
      </c>
      <c r="M153" s="58" t="s">
        <v>22</v>
      </c>
      <c r="N153" s="58"/>
      <c r="O153" s="61">
        <f>Ordini!$K153+Ordini!$J153+Ordini!$L153</f>
        <v>58.129000000000005</v>
      </c>
      <c r="P153" s="61">
        <f>Ordini!$I153-Ordini!$O153</f>
        <v>13.86099999999999</v>
      </c>
      <c r="Q153" s="58" t="str">
        <f>IF(Ordini!$P153&lt;0,"DA EVITARE","OK")</f>
        <v>OK</v>
      </c>
      <c r="R153" s="58"/>
    </row>
    <row r="154" spans="1:18" s="62" customFormat="1" x14ac:dyDescent="0.25">
      <c r="A154" s="48" t="s">
        <v>99</v>
      </c>
      <c r="B154" s="49" t="s">
        <v>109</v>
      </c>
      <c r="C154" s="49" t="s">
        <v>20</v>
      </c>
      <c r="D154" s="49" t="s">
        <v>252</v>
      </c>
      <c r="E154" s="49" t="s">
        <v>65</v>
      </c>
      <c r="F154" s="50">
        <v>1</v>
      </c>
      <c r="G154" s="52">
        <v>68.989999999999995</v>
      </c>
      <c r="H154" s="51">
        <v>0</v>
      </c>
      <c r="I154" s="52">
        <f>Ordini!$G154/(1+Ordini!$H154)</f>
        <v>68.989999999999995</v>
      </c>
      <c r="J154" s="52">
        <v>13.01</v>
      </c>
      <c r="K154" s="52">
        <v>33.78</v>
      </c>
      <c r="L154" s="52">
        <v>5.87</v>
      </c>
      <c r="M154" s="50" t="s">
        <v>22</v>
      </c>
      <c r="N154" s="50"/>
      <c r="O154" s="53">
        <f>Ordini!$K154+Ordini!$J154+Ordini!$L154</f>
        <v>52.66</v>
      </c>
      <c r="P154" s="53">
        <f>Ordini!$I154-Ordini!$O154</f>
        <v>16.329999999999998</v>
      </c>
      <c r="Q154" s="50" t="str">
        <f>IF(Ordini!$P154&lt;0,"DA EVITARE","OK")</f>
        <v>OK</v>
      </c>
      <c r="R154" s="50"/>
    </row>
    <row r="155" spans="1:18" s="55" customFormat="1" x14ac:dyDescent="0.25">
      <c r="A155" s="56" t="s">
        <v>99</v>
      </c>
      <c r="B155" s="57" t="s">
        <v>109</v>
      </c>
      <c r="C155" s="57" t="s">
        <v>20</v>
      </c>
      <c r="D155" s="57" t="s">
        <v>253</v>
      </c>
      <c r="E155" s="57" t="s">
        <v>65</v>
      </c>
      <c r="F155" s="58">
        <v>1</v>
      </c>
      <c r="G155" s="60">
        <v>68.989999999999995</v>
      </c>
      <c r="H155" s="59">
        <v>0</v>
      </c>
      <c r="I155" s="60">
        <f>Ordini!$G155/(1+Ordini!$H155)</f>
        <v>68.989999999999995</v>
      </c>
      <c r="J155" s="60">
        <v>13.01</v>
      </c>
      <c r="K155" s="60">
        <v>33.78</v>
      </c>
      <c r="L155" s="60">
        <v>5.87</v>
      </c>
      <c r="M155" s="58" t="s">
        <v>22</v>
      </c>
      <c r="N155" s="58"/>
      <c r="O155" s="61">
        <f>Ordini!$K155+Ordini!$J155+Ordini!$L155</f>
        <v>52.66</v>
      </c>
      <c r="P155" s="61">
        <f>Ordini!$I155-Ordini!$O155</f>
        <v>16.329999999999998</v>
      </c>
      <c r="Q155" s="58" t="str">
        <f>IF(Ordini!$P155&lt;0,"DA EVITARE","OK")</f>
        <v>OK</v>
      </c>
      <c r="R155" s="58"/>
    </row>
    <row r="156" spans="1:18" s="62" customFormat="1" x14ac:dyDescent="0.25">
      <c r="A156" s="48" t="s">
        <v>99</v>
      </c>
      <c r="B156" s="49" t="s">
        <v>109</v>
      </c>
      <c r="C156" s="49" t="s">
        <v>20</v>
      </c>
      <c r="D156" s="49" t="s">
        <v>254</v>
      </c>
      <c r="E156" s="49" t="s">
        <v>65</v>
      </c>
      <c r="F156" s="50">
        <v>1</v>
      </c>
      <c r="G156" s="52">
        <v>68.989999999999995</v>
      </c>
      <c r="H156" s="51">
        <v>0</v>
      </c>
      <c r="I156" s="52">
        <f>Ordini!$G156/(1+Ordini!$H156)</f>
        <v>68.989999999999995</v>
      </c>
      <c r="J156" s="52">
        <v>13.01</v>
      </c>
      <c r="K156" s="52">
        <v>33.78</v>
      </c>
      <c r="L156" s="52">
        <v>5.87</v>
      </c>
      <c r="M156" s="50" t="s">
        <v>22</v>
      </c>
      <c r="N156" s="50"/>
      <c r="O156" s="53">
        <f>Ordini!$K156+Ordini!$J156+Ordini!$L156</f>
        <v>52.66</v>
      </c>
      <c r="P156" s="53">
        <f>Ordini!$I156-Ordini!$O156</f>
        <v>16.329999999999998</v>
      </c>
      <c r="Q156" s="50" t="str">
        <f>IF(Ordini!$P156&lt;0,"DA EVITARE","OK")</f>
        <v>OK</v>
      </c>
      <c r="R156" s="50"/>
    </row>
    <row r="157" spans="1:18" s="55" customFormat="1" x14ac:dyDescent="0.25">
      <c r="A157" s="56" t="s">
        <v>99</v>
      </c>
      <c r="B157" s="57" t="s">
        <v>109</v>
      </c>
      <c r="C157" s="57" t="s">
        <v>20</v>
      </c>
      <c r="D157" s="57" t="s">
        <v>255</v>
      </c>
      <c r="E157" s="57" t="s">
        <v>60</v>
      </c>
      <c r="F157" s="58">
        <v>1</v>
      </c>
      <c r="G157" s="60">
        <v>87.99</v>
      </c>
      <c r="H157" s="59">
        <v>0</v>
      </c>
      <c r="I157" s="60">
        <f>Ordini!$G157/(1+Ordini!$H157)</f>
        <v>87.99</v>
      </c>
      <c r="J157" s="60">
        <v>14.38</v>
      </c>
      <c r="K157" s="60">
        <v>39.76</v>
      </c>
      <c r="L157" s="60">
        <v>8.01</v>
      </c>
      <c r="M157" s="58" t="s">
        <v>22</v>
      </c>
      <c r="N157" s="58"/>
      <c r="O157" s="61">
        <f>Ordini!$K157+Ordini!$J157+Ordini!$L157</f>
        <v>62.15</v>
      </c>
      <c r="P157" s="61">
        <f>Ordini!$I157-Ordini!$O157</f>
        <v>25.839999999999996</v>
      </c>
      <c r="Q157" s="58" t="str">
        <f>IF(Ordini!$P157&lt;0,"DA EVITARE","OK")</f>
        <v>OK</v>
      </c>
      <c r="R157" s="58"/>
    </row>
    <row r="158" spans="1:18" s="62" customFormat="1" x14ac:dyDescent="0.25">
      <c r="A158" s="48" t="s">
        <v>99</v>
      </c>
      <c r="B158" s="49" t="s">
        <v>363</v>
      </c>
      <c r="C158" s="49" t="s">
        <v>20</v>
      </c>
      <c r="D158" s="49" t="s">
        <v>379</v>
      </c>
      <c r="E158" s="49" t="s">
        <v>392</v>
      </c>
      <c r="F158" s="50">
        <v>2</v>
      </c>
      <c r="G158" s="52">
        <v>95.46</v>
      </c>
      <c r="H158" s="51">
        <v>0</v>
      </c>
      <c r="I158" s="52">
        <f>Ordini!$G158/(1+Ordini!$H158)</f>
        <v>95.46</v>
      </c>
      <c r="J158" s="52">
        <v>11.46</v>
      </c>
      <c r="K158" s="52">
        <v>44.627599999999994</v>
      </c>
      <c r="L158" s="52">
        <v>9.69</v>
      </c>
      <c r="M158" s="50" t="s">
        <v>22</v>
      </c>
      <c r="N158" s="50"/>
      <c r="O158" s="53">
        <f>Ordini!$K158+Ordini!$J158+Ordini!$L158</f>
        <v>65.777599999999993</v>
      </c>
      <c r="P158" s="53">
        <f>Ordini!$I158-Ordini!$O158</f>
        <v>29.682400000000001</v>
      </c>
      <c r="Q158" s="50" t="str">
        <f>IF(Ordini!$P158&lt;0,"DA EVITARE","OK")</f>
        <v>OK</v>
      </c>
      <c r="R158" s="50"/>
    </row>
    <row r="159" spans="1:18" s="55" customFormat="1" x14ac:dyDescent="0.25">
      <c r="A159" s="56" t="s">
        <v>99</v>
      </c>
      <c r="B159" s="57" t="s">
        <v>109</v>
      </c>
      <c r="C159" s="57" t="s">
        <v>20</v>
      </c>
      <c r="D159" s="57" t="s">
        <v>256</v>
      </c>
      <c r="E159" s="57" t="s">
        <v>71</v>
      </c>
      <c r="F159" s="58">
        <v>1</v>
      </c>
      <c r="G159" s="60">
        <v>68.900000000000006</v>
      </c>
      <c r="H159" s="59">
        <v>0</v>
      </c>
      <c r="I159" s="60">
        <f>Ordini!$G159/(1+Ordini!$H159)</f>
        <v>68.900000000000006</v>
      </c>
      <c r="J159" s="60">
        <v>11.27</v>
      </c>
      <c r="K159" s="60">
        <v>32.049999999999997</v>
      </c>
      <c r="L159" s="60">
        <v>5.87</v>
      </c>
      <c r="M159" s="58" t="s">
        <v>22</v>
      </c>
      <c r="N159" s="58"/>
      <c r="O159" s="61">
        <f>Ordini!$K159+Ordini!$J159+Ordini!$L159</f>
        <v>49.189999999999991</v>
      </c>
      <c r="P159" s="61">
        <f>Ordini!$I159-Ordini!$O159</f>
        <v>19.710000000000015</v>
      </c>
      <c r="Q159" s="58" t="str">
        <f>IF(Ordini!$P159&lt;0,"DA EVITARE","OK")</f>
        <v>OK</v>
      </c>
      <c r="R159" s="58"/>
    </row>
    <row r="160" spans="1:18" s="62" customFormat="1" x14ac:dyDescent="0.25">
      <c r="A160" s="48" t="s">
        <v>99</v>
      </c>
      <c r="B160" s="49" t="s">
        <v>110</v>
      </c>
      <c r="C160" s="49" t="s">
        <v>20</v>
      </c>
      <c r="D160" s="49" t="s">
        <v>257</v>
      </c>
      <c r="E160" s="49" t="s">
        <v>60</v>
      </c>
      <c r="F160" s="50">
        <v>1</v>
      </c>
      <c r="G160" s="52">
        <v>76.27</v>
      </c>
      <c r="H160" s="51">
        <v>0</v>
      </c>
      <c r="I160" s="52">
        <f>Ordini!$G160/(1+Ordini!$H160)</f>
        <v>76.27</v>
      </c>
      <c r="J160" s="52">
        <v>0</v>
      </c>
      <c r="K160" s="52">
        <v>39.76</v>
      </c>
      <c r="L160" s="52">
        <v>8.01</v>
      </c>
      <c r="M160" s="50" t="s">
        <v>22</v>
      </c>
      <c r="N160" s="50"/>
      <c r="O160" s="53">
        <f>Ordini!$K160+Ordini!$J160+Ordini!$L160</f>
        <v>47.769999999999996</v>
      </c>
      <c r="P160" s="53">
        <f>Ordini!$I160-Ordini!$O160</f>
        <v>28.5</v>
      </c>
      <c r="Q160" s="50" t="str">
        <f>IF(Ordini!$P160&lt;0,"DA EVITARE","OK")</f>
        <v>OK</v>
      </c>
      <c r="R160" s="50"/>
    </row>
    <row r="161" spans="1:18" s="55" customFormat="1" x14ac:dyDescent="0.25">
      <c r="A161" s="56" t="s">
        <v>99</v>
      </c>
      <c r="B161" s="57" t="s">
        <v>110</v>
      </c>
      <c r="C161" s="57" t="s">
        <v>20</v>
      </c>
      <c r="D161" s="57" t="s">
        <v>258</v>
      </c>
      <c r="E161" s="57" t="s">
        <v>60</v>
      </c>
      <c r="F161" s="58">
        <v>1</v>
      </c>
      <c r="G161" s="60">
        <v>74.78</v>
      </c>
      <c r="H161" s="59">
        <v>0</v>
      </c>
      <c r="I161" s="60">
        <f>Ordini!$G161/(1+Ordini!$H161)</f>
        <v>74.78</v>
      </c>
      <c r="J161" s="60">
        <v>0</v>
      </c>
      <c r="K161" s="60">
        <v>39.76</v>
      </c>
      <c r="L161" s="60">
        <v>8.01</v>
      </c>
      <c r="M161" s="58" t="s">
        <v>22</v>
      </c>
      <c r="N161" s="58"/>
      <c r="O161" s="61">
        <f>Ordini!$K161+Ordini!$J161+Ordini!$L161</f>
        <v>47.769999999999996</v>
      </c>
      <c r="P161" s="61">
        <f>Ordini!$I161-Ordini!$O161</f>
        <v>27.010000000000005</v>
      </c>
      <c r="Q161" s="58" t="str">
        <f>IF(Ordini!$P161&lt;0,"DA EVITARE","OK")</f>
        <v>OK</v>
      </c>
      <c r="R161" s="58"/>
    </row>
    <row r="162" spans="1:18" s="62" customFormat="1" x14ac:dyDescent="0.25">
      <c r="A162" s="48" t="s">
        <v>99</v>
      </c>
      <c r="B162" s="49" t="s">
        <v>110</v>
      </c>
      <c r="C162" s="49" t="s">
        <v>20</v>
      </c>
      <c r="D162" s="49" t="s">
        <v>259</v>
      </c>
      <c r="E162" s="49" t="s">
        <v>74</v>
      </c>
      <c r="F162" s="50">
        <v>1</v>
      </c>
      <c r="G162" s="52">
        <v>85.73</v>
      </c>
      <c r="H162" s="51">
        <v>0</v>
      </c>
      <c r="I162" s="52">
        <f>Ordini!$G162/(1+Ordini!$H162)</f>
        <v>85.73</v>
      </c>
      <c r="J162" s="52">
        <v>0</v>
      </c>
      <c r="K162" s="52">
        <v>50</v>
      </c>
      <c r="L162" s="52">
        <v>8.8000000000000007</v>
      </c>
      <c r="M162" s="50" t="s">
        <v>22</v>
      </c>
      <c r="N162" s="50"/>
      <c r="O162" s="53">
        <f>Ordini!$K162+Ordini!$J162+Ordini!$L162</f>
        <v>58.8</v>
      </c>
      <c r="P162" s="53">
        <f>Ordini!$I162-Ordini!$O162</f>
        <v>26.930000000000007</v>
      </c>
      <c r="Q162" s="50" t="str">
        <f>IF(Ordini!$P162&lt;0,"DA EVITARE","OK")</f>
        <v>OK</v>
      </c>
      <c r="R162" s="50"/>
    </row>
    <row r="163" spans="1:18" s="55" customFormat="1" x14ac:dyDescent="0.25">
      <c r="A163" s="56" t="s">
        <v>99</v>
      </c>
      <c r="B163" s="57" t="s">
        <v>110</v>
      </c>
      <c r="C163" s="57" t="s">
        <v>20</v>
      </c>
      <c r="D163" s="57" t="s">
        <v>260</v>
      </c>
      <c r="E163" s="57" t="s">
        <v>50</v>
      </c>
      <c r="F163" s="58">
        <v>1</v>
      </c>
      <c r="G163" s="60">
        <v>15.73</v>
      </c>
      <c r="H163" s="59">
        <v>0</v>
      </c>
      <c r="I163" s="60">
        <f>Ordini!$G163/(1+Ordini!$H163)</f>
        <v>15.73</v>
      </c>
      <c r="J163" s="60">
        <v>0</v>
      </c>
      <c r="K163" s="60">
        <v>6.41</v>
      </c>
      <c r="L163" s="60">
        <v>4.7699999999999996</v>
      </c>
      <c r="M163" s="58" t="s">
        <v>22</v>
      </c>
      <c r="N163" s="58"/>
      <c r="O163" s="61">
        <f>Ordini!$K163+Ordini!$J163+Ordini!$L163</f>
        <v>11.18</v>
      </c>
      <c r="P163" s="61">
        <f>Ordini!$I163-Ordini!$O163</f>
        <v>4.5500000000000007</v>
      </c>
      <c r="Q163" s="58" t="str">
        <f>IF(Ordini!$P163&lt;0,"DA EVITARE","OK")</f>
        <v>OK</v>
      </c>
      <c r="R163" s="58"/>
    </row>
    <row r="164" spans="1:18" s="62" customFormat="1" x14ac:dyDescent="0.25">
      <c r="A164" s="48" t="s">
        <v>99</v>
      </c>
      <c r="B164" s="49" t="s">
        <v>110</v>
      </c>
      <c r="C164" s="49" t="s">
        <v>20</v>
      </c>
      <c r="D164" s="49" t="s">
        <v>261</v>
      </c>
      <c r="E164" s="49" t="s">
        <v>56</v>
      </c>
      <c r="F164" s="50">
        <v>1</v>
      </c>
      <c r="G164" s="52">
        <v>16.03</v>
      </c>
      <c r="H164" s="51">
        <v>0</v>
      </c>
      <c r="I164" s="52">
        <f>Ordini!$G164/(1+Ordini!$H164)</f>
        <v>16.03</v>
      </c>
      <c r="J164" s="52">
        <v>0</v>
      </c>
      <c r="K164" s="52">
        <v>6.62</v>
      </c>
      <c r="L164" s="52">
        <v>4.7699999999999996</v>
      </c>
      <c r="M164" s="50" t="s">
        <v>22</v>
      </c>
      <c r="N164" s="50"/>
      <c r="O164" s="53">
        <f>Ordini!$K164+Ordini!$J164+Ordini!$L164</f>
        <v>11.39</v>
      </c>
      <c r="P164" s="53">
        <f>Ordini!$I164-Ordini!$O164</f>
        <v>4.6400000000000006</v>
      </c>
      <c r="Q164" s="50" t="str">
        <f>IF(Ordini!$P164&lt;0,"DA EVITARE","OK")</f>
        <v>OK</v>
      </c>
      <c r="R164" s="50"/>
    </row>
    <row r="165" spans="1:18" s="55" customFormat="1" x14ac:dyDescent="0.25">
      <c r="A165" s="56" t="s">
        <v>99</v>
      </c>
      <c r="B165" s="57" t="s">
        <v>110</v>
      </c>
      <c r="C165" s="57" t="s">
        <v>20</v>
      </c>
      <c r="D165" s="57" t="s">
        <v>261</v>
      </c>
      <c r="E165" s="57" t="s">
        <v>56</v>
      </c>
      <c r="F165" s="58">
        <v>1</v>
      </c>
      <c r="G165" s="60">
        <v>16.03</v>
      </c>
      <c r="H165" s="59">
        <v>0</v>
      </c>
      <c r="I165" s="60">
        <f>Ordini!$G165/(1+Ordini!$H165)</f>
        <v>16.03</v>
      </c>
      <c r="J165" s="60">
        <v>0</v>
      </c>
      <c r="K165" s="60">
        <v>6.62</v>
      </c>
      <c r="L165" s="60">
        <v>4.7699999999999996</v>
      </c>
      <c r="M165" s="58" t="s">
        <v>22</v>
      </c>
      <c r="N165" s="58"/>
      <c r="O165" s="61">
        <f>Ordini!$K165+Ordini!$J165+Ordini!$L165</f>
        <v>11.39</v>
      </c>
      <c r="P165" s="61">
        <f>Ordini!$I165-Ordini!$O165</f>
        <v>4.6400000000000006</v>
      </c>
      <c r="Q165" s="58" t="str">
        <f>IF(Ordini!$P165&lt;0,"DA EVITARE","OK")</f>
        <v>OK</v>
      </c>
      <c r="R165" s="58"/>
    </row>
    <row r="166" spans="1:18" s="62" customFormat="1" x14ac:dyDescent="0.25">
      <c r="A166" s="48" t="s">
        <v>99</v>
      </c>
      <c r="B166" s="49" t="s">
        <v>110</v>
      </c>
      <c r="C166" s="49" t="s">
        <v>20</v>
      </c>
      <c r="D166" s="49" t="s">
        <v>262</v>
      </c>
      <c r="E166" s="49" t="s">
        <v>395</v>
      </c>
      <c r="F166" s="50">
        <v>1</v>
      </c>
      <c r="G166" s="52">
        <v>13.8</v>
      </c>
      <c r="H166" s="51">
        <v>0</v>
      </c>
      <c r="I166" s="52">
        <f>Ordini!$G166/(1+Ordini!$H166)</f>
        <v>13.8</v>
      </c>
      <c r="J166" s="52">
        <v>0</v>
      </c>
      <c r="K166" s="52">
        <v>5.8559999999999999</v>
      </c>
      <c r="L166" s="52">
        <v>4.3600000000000003</v>
      </c>
      <c r="M166" s="50" t="s">
        <v>22</v>
      </c>
      <c r="N166" s="50"/>
      <c r="O166" s="53">
        <f>Ordini!$K166+Ordini!$J166+Ordini!$L166</f>
        <v>10.216000000000001</v>
      </c>
      <c r="P166" s="53">
        <f>Ordini!$I166-Ordini!$O166</f>
        <v>3.5839999999999996</v>
      </c>
      <c r="Q166" s="50" t="str">
        <f>IF(Ordini!$P166&lt;0,"DA EVITARE","OK")</f>
        <v>OK</v>
      </c>
      <c r="R166" s="50"/>
    </row>
    <row r="167" spans="1:18" s="55" customFormat="1" x14ac:dyDescent="0.25">
      <c r="A167" s="56" t="s">
        <v>99</v>
      </c>
      <c r="B167" s="57" t="s">
        <v>110</v>
      </c>
      <c r="C167" s="57" t="s">
        <v>20</v>
      </c>
      <c r="D167" s="57" t="s">
        <v>263</v>
      </c>
      <c r="E167" s="57" t="s">
        <v>56</v>
      </c>
      <c r="F167" s="58">
        <v>1</v>
      </c>
      <c r="G167" s="60">
        <v>19.02</v>
      </c>
      <c r="H167" s="59">
        <v>0</v>
      </c>
      <c r="I167" s="60">
        <f>Ordini!$G167/(1+Ordini!$H167)</f>
        <v>19.02</v>
      </c>
      <c r="J167" s="60">
        <v>0</v>
      </c>
      <c r="K167" s="60">
        <v>6.62</v>
      </c>
      <c r="L167" s="60">
        <v>4.7699999999999996</v>
      </c>
      <c r="M167" s="58" t="s">
        <v>22</v>
      </c>
      <c r="N167" s="58"/>
      <c r="O167" s="61">
        <f>Ordini!$K167+Ordini!$J167+Ordini!$L167</f>
        <v>11.39</v>
      </c>
      <c r="P167" s="61">
        <f>Ordini!$I167-Ordini!$O167</f>
        <v>7.629999999999999</v>
      </c>
      <c r="Q167" s="58" t="str">
        <f>IF(Ordini!$P167&lt;0,"DA EVITARE","OK")</f>
        <v>OK</v>
      </c>
      <c r="R167" s="58"/>
    </row>
    <row r="168" spans="1:18" s="62" customFormat="1" x14ac:dyDescent="0.25">
      <c r="A168" s="48" t="s">
        <v>99</v>
      </c>
      <c r="B168" s="49" t="s">
        <v>110</v>
      </c>
      <c r="C168" s="49" t="s">
        <v>20</v>
      </c>
      <c r="D168" s="49" t="s">
        <v>264</v>
      </c>
      <c r="E168" s="49" t="s">
        <v>56</v>
      </c>
      <c r="F168" s="50">
        <v>1</v>
      </c>
      <c r="G168" s="52">
        <v>19.02</v>
      </c>
      <c r="H168" s="51">
        <v>0</v>
      </c>
      <c r="I168" s="52">
        <f>Ordini!$G168/(1+Ordini!$H168)</f>
        <v>19.02</v>
      </c>
      <c r="J168" s="52">
        <v>0</v>
      </c>
      <c r="K168" s="52">
        <v>6.62</v>
      </c>
      <c r="L168" s="52">
        <v>4.7699999999999996</v>
      </c>
      <c r="M168" s="50" t="s">
        <v>22</v>
      </c>
      <c r="N168" s="50"/>
      <c r="O168" s="53">
        <f>Ordini!$K168+Ordini!$J168+Ordini!$L168</f>
        <v>11.39</v>
      </c>
      <c r="P168" s="53">
        <f>Ordini!$I168-Ordini!$O168</f>
        <v>7.629999999999999</v>
      </c>
      <c r="Q168" s="50" t="str">
        <f>IF(Ordini!$P168&lt;0,"DA EVITARE","OK")</f>
        <v>OK</v>
      </c>
      <c r="R168" s="50"/>
    </row>
    <row r="169" spans="1:18" s="55" customFormat="1" x14ac:dyDescent="0.25">
      <c r="A169" s="56" t="s">
        <v>99</v>
      </c>
      <c r="B169" s="57" t="s">
        <v>111</v>
      </c>
      <c r="C169" s="57" t="s">
        <v>20</v>
      </c>
      <c r="D169" s="57" t="s">
        <v>265</v>
      </c>
      <c r="E169" s="57" t="s">
        <v>73</v>
      </c>
      <c r="F169" s="58">
        <v>1</v>
      </c>
      <c r="G169" s="60">
        <v>33.25</v>
      </c>
      <c r="H169" s="59">
        <v>0</v>
      </c>
      <c r="I169" s="60">
        <f>Ordini!$G169/(1+Ordini!$H169)</f>
        <v>33.25</v>
      </c>
      <c r="J169" s="60">
        <v>4.8</v>
      </c>
      <c r="K169" s="60">
        <v>14.47</v>
      </c>
      <c r="L169" s="60">
        <v>7.1</v>
      </c>
      <c r="M169" s="58" t="s">
        <v>22</v>
      </c>
      <c r="N169" s="58"/>
      <c r="O169" s="61">
        <f>Ordini!$K169+Ordini!$J169+Ordini!$L169</f>
        <v>26.369999999999997</v>
      </c>
      <c r="P169" s="61">
        <f>Ordini!$I169-Ordini!$O169</f>
        <v>6.8800000000000026</v>
      </c>
      <c r="Q169" s="58" t="str">
        <f>IF(Ordini!$P169&lt;0,"DA EVITARE","OK")</f>
        <v>OK</v>
      </c>
      <c r="R169" s="58"/>
    </row>
    <row r="170" spans="1:18" s="62" customFormat="1" x14ac:dyDescent="0.25">
      <c r="A170" s="48" t="s">
        <v>99</v>
      </c>
      <c r="B170" s="49" t="s">
        <v>111</v>
      </c>
      <c r="C170" s="49" t="s">
        <v>20</v>
      </c>
      <c r="D170" s="49" t="s">
        <v>266</v>
      </c>
      <c r="E170" s="49" t="s">
        <v>63</v>
      </c>
      <c r="F170" s="50">
        <v>1</v>
      </c>
      <c r="G170" s="52">
        <v>93.88</v>
      </c>
      <c r="H170" s="51">
        <v>0</v>
      </c>
      <c r="I170" s="52">
        <f>Ordini!$G170/(1+Ordini!$H170)</f>
        <v>93.88</v>
      </c>
      <c r="J170" s="52">
        <v>12.89</v>
      </c>
      <c r="K170" s="52">
        <v>42.629999999999995</v>
      </c>
      <c r="L170" s="52">
        <v>8.4</v>
      </c>
      <c r="M170" s="50" t="s">
        <v>22</v>
      </c>
      <c r="N170" s="50"/>
      <c r="O170" s="53">
        <f>Ordini!$K170+Ordini!$J170+Ordini!$L170</f>
        <v>63.919999999999995</v>
      </c>
      <c r="P170" s="53">
        <f>Ordini!$I170-Ordini!$O170</f>
        <v>29.96</v>
      </c>
      <c r="Q170" s="50" t="str">
        <f>IF(Ordini!$P170&lt;0,"DA EVITARE","OK")</f>
        <v>OK</v>
      </c>
      <c r="R170" s="50"/>
    </row>
    <row r="171" spans="1:18" s="55" customFormat="1" x14ac:dyDescent="0.25">
      <c r="A171" s="56" t="s">
        <v>100</v>
      </c>
      <c r="B171" s="57" t="s">
        <v>109</v>
      </c>
      <c r="C171" s="57" t="s">
        <v>20</v>
      </c>
      <c r="D171" s="57" t="s">
        <v>267</v>
      </c>
      <c r="E171" s="57" t="s">
        <v>60</v>
      </c>
      <c r="F171" s="58">
        <v>1</v>
      </c>
      <c r="G171" s="60">
        <v>87.99</v>
      </c>
      <c r="H171" s="59">
        <v>0</v>
      </c>
      <c r="I171" s="60">
        <f>Ordini!$G171/(1+Ordini!$H171)</f>
        <v>87.99</v>
      </c>
      <c r="J171" s="60">
        <v>14.36</v>
      </c>
      <c r="K171" s="60">
        <v>39.76</v>
      </c>
      <c r="L171" s="60">
        <v>8.01</v>
      </c>
      <c r="M171" s="58" t="s">
        <v>22</v>
      </c>
      <c r="N171" s="58"/>
      <c r="O171" s="61">
        <f>Ordini!$K171+Ordini!$J171+Ordini!$L171</f>
        <v>62.129999999999995</v>
      </c>
      <c r="P171" s="61">
        <f>Ordini!$I171-Ordini!$O171</f>
        <v>25.86</v>
      </c>
      <c r="Q171" s="58" t="str">
        <f>IF(Ordini!$P171&lt;0,"DA EVITARE","OK")</f>
        <v>OK</v>
      </c>
      <c r="R171" s="58"/>
    </row>
    <row r="172" spans="1:18" s="62" customFormat="1" x14ac:dyDescent="0.25">
      <c r="A172" s="48" t="s">
        <v>100</v>
      </c>
      <c r="B172" s="49" t="s">
        <v>109</v>
      </c>
      <c r="C172" s="49" t="s">
        <v>20</v>
      </c>
      <c r="D172" s="49" t="s">
        <v>268</v>
      </c>
      <c r="E172" s="49" t="s">
        <v>60</v>
      </c>
      <c r="F172" s="50">
        <v>1</v>
      </c>
      <c r="G172" s="52">
        <v>87.99</v>
      </c>
      <c r="H172" s="51">
        <v>0</v>
      </c>
      <c r="I172" s="52">
        <f>Ordini!$G172/(1+Ordini!$H172)</f>
        <v>87.99</v>
      </c>
      <c r="J172" s="52">
        <v>14.36</v>
      </c>
      <c r="K172" s="52">
        <v>39.76</v>
      </c>
      <c r="L172" s="52">
        <v>8.01</v>
      </c>
      <c r="M172" s="50" t="s">
        <v>22</v>
      </c>
      <c r="N172" s="50"/>
      <c r="O172" s="53">
        <f>Ordini!$K172+Ordini!$J172+Ordini!$L172</f>
        <v>62.129999999999995</v>
      </c>
      <c r="P172" s="53">
        <f>Ordini!$I172-Ordini!$O172</f>
        <v>25.86</v>
      </c>
      <c r="Q172" s="50" t="str">
        <f>IF(Ordini!$P172&lt;0,"DA EVITARE","OK")</f>
        <v>OK</v>
      </c>
      <c r="R172" s="50"/>
    </row>
    <row r="173" spans="1:18" s="55" customFormat="1" x14ac:dyDescent="0.25">
      <c r="A173" s="56" t="s">
        <v>100</v>
      </c>
      <c r="B173" s="57" t="s">
        <v>109</v>
      </c>
      <c r="C173" s="57" t="s">
        <v>20</v>
      </c>
      <c r="D173" s="57" t="s">
        <v>269</v>
      </c>
      <c r="E173" s="57" t="s">
        <v>65</v>
      </c>
      <c r="F173" s="58">
        <v>1</v>
      </c>
      <c r="G173" s="60"/>
      <c r="H173" s="59">
        <v>0</v>
      </c>
      <c r="I173" s="60">
        <f>Ordini!$G173/(1+Ordini!$H173)</f>
        <v>0</v>
      </c>
      <c r="J173" s="60"/>
      <c r="K173" s="60">
        <v>33.78</v>
      </c>
      <c r="L173" s="60">
        <v>5.87</v>
      </c>
      <c r="M173" s="58" t="s">
        <v>25</v>
      </c>
      <c r="N173" s="58"/>
      <c r="O173" s="61">
        <f>Ordini!$K173+Ordini!$J173+Ordini!$L173</f>
        <v>39.65</v>
      </c>
      <c r="P173" s="61">
        <f>Ordini!$I173-Ordini!$O173</f>
        <v>-39.65</v>
      </c>
      <c r="Q173" s="58" t="str">
        <f>IF(Ordini!$P173&lt;0,"DA EVITARE","OK")</f>
        <v>DA EVITARE</v>
      </c>
      <c r="R173" s="58"/>
    </row>
    <row r="174" spans="1:18" s="62" customFormat="1" x14ac:dyDescent="0.25">
      <c r="A174" s="48" t="s">
        <v>100</v>
      </c>
      <c r="B174" s="49" t="s">
        <v>109</v>
      </c>
      <c r="C174" s="49" t="s">
        <v>20</v>
      </c>
      <c r="D174" s="49" t="s">
        <v>270</v>
      </c>
      <c r="E174" s="49" t="s">
        <v>60</v>
      </c>
      <c r="F174" s="50">
        <v>1</v>
      </c>
      <c r="G174" s="52">
        <v>87.99</v>
      </c>
      <c r="H174" s="51">
        <v>0</v>
      </c>
      <c r="I174" s="52">
        <f>Ordini!$G174/(1+Ordini!$H174)</f>
        <v>87.99</v>
      </c>
      <c r="J174" s="52">
        <v>14.36</v>
      </c>
      <c r="K174" s="52">
        <v>39.76</v>
      </c>
      <c r="L174" s="52">
        <v>8.01</v>
      </c>
      <c r="M174" s="50" t="s">
        <v>22</v>
      </c>
      <c r="N174" s="50"/>
      <c r="O174" s="53">
        <f>Ordini!$K174+Ordini!$J174+Ordini!$L174</f>
        <v>62.129999999999995</v>
      </c>
      <c r="P174" s="53">
        <f>Ordini!$I174-Ordini!$O174</f>
        <v>25.86</v>
      </c>
      <c r="Q174" s="50" t="str">
        <f>IF(Ordini!$P174&lt;0,"DA EVITARE","OK")</f>
        <v>OK</v>
      </c>
      <c r="R174" s="50"/>
    </row>
    <row r="175" spans="1:18" s="55" customFormat="1" x14ac:dyDescent="0.25">
      <c r="A175" s="56" t="s">
        <v>100</v>
      </c>
      <c r="B175" s="57" t="s">
        <v>109</v>
      </c>
      <c r="C175" s="57" t="s">
        <v>20</v>
      </c>
      <c r="D175" s="57" t="s">
        <v>271</v>
      </c>
      <c r="E175" s="57" t="s">
        <v>65</v>
      </c>
      <c r="F175" s="58">
        <v>1</v>
      </c>
      <c r="G175" s="60">
        <v>68.989999999999995</v>
      </c>
      <c r="H175" s="59">
        <v>0</v>
      </c>
      <c r="I175" s="60">
        <f>Ordini!$G175/(1+Ordini!$H175)</f>
        <v>68.989999999999995</v>
      </c>
      <c r="J175" s="60">
        <v>12.99</v>
      </c>
      <c r="K175" s="60">
        <v>33.78</v>
      </c>
      <c r="L175" s="60">
        <v>5.87</v>
      </c>
      <c r="M175" s="58" t="s">
        <v>22</v>
      </c>
      <c r="N175" s="58"/>
      <c r="O175" s="61">
        <f>Ordini!$K175+Ordini!$J175+Ordini!$L175</f>
        <v>52.64</v>
      </c>
      <c r="P175" s="61">
        <f>Ordini!$I175-Ordini!$O175</f>
        <v>16.349999999999994</v>
      </c>
      <c r="Q175" s="58" t="str">
        <f>IF(Ordini!$P175&lt;0,"DA EVITARE","OK")</f>
        <v>OK</v>
      </c>
      <c r="R175" s="58"/>
    </row>
    <row r="176" spans="1:18" s="62" customFormat="1" x14ac:dyDescent="0.25">
      <c r="A176" s="48" t="s">
        <v>100</v>
      </c>
      <c r="B176" s="49" t="s">
        <v>109</v>
      </c>
      <c r="C176" s="49" t="s">
        <v>20</v>
      </c>
      <c r="D176" s="49" t="s">
        <v>272</v>
      </c>
      <c r="E176" s="49" t="s">
        <v>60</v>
      </c>
      <c r="F176" s="50">
        <v>1</v>
      </c>
      <c r="G176" s="52">
        <v>87.99</v>
      </c>
      <c r="H176" s="51">
        <v>0</v>
      </c>
      <c r="I176" s="52">
        <f>Ordini!$G176/(1+Ordini!$H176)</f>
        <v>87.99</v>
      </c>
      <c r="J176" s="52">
        <v>14.36</v>
      </c>
      <c r="K176" s="52">
        <v>39.76</v>
      </c>
      <c r="L176" s="52">
        <v>8.01</v>
      </c>
      <c r="M176" s="50" t="s">
        <v>22</v>
      </c>
      <c r="N176" s="50"/>
      <c r="O176" s="53">
        <f>Ordini!$K176+Ordini!$J176+Ordini!$L176</f>
        <v>62.129999999999995</v>
      </c>
      <c r="P176" s="53">
        <f>Ordini!$I176-Ordini!$O176</f>
        <v>25.86</v>
      </c>
      <c r="Q176" s="50" t="str">
        <f>IF(Ordini!$P176&lt;0,"DA EVITARE","OK")</f>
        <v>OK</v>
      </c>
      <c r="R176" s="50"/>
    </row>
    <row r="177" spans="1:18" s="55" customFormat="1" x14ac:dyDescent="0.25">
      <c r="A177" s="56" t="s">
        <v>100</v>
      </c>
      <c r="B177" s="57" t="s">
        <v>109</v>
      </c>
      <c r="C177" s="57" t="s">
        <v>20</v>
      </c>
      <c r="D177" s="57" t="s">
        <v>273</v>
      </c>
      <c r="E177" s="57" t="s">
        <v>65</v>
      </c>
      <c r="F177" s="58">
        <v>1</v>
      </c>
      <c r="G177" s="60">
        <v>68.989999999999995</v>
      </c>
      <c r="H177" s="59">
        <v>0</v>
      </c>
      <c r="I177" s="60">
        <f>Ordini!$G177/(1+Ordini!$H177)</f>
        <v>68.989999999999995</v>
      </c>
      <c r="J177" s="60">
        <v>12.99</v>
      </c>
      <c r="K177" s="60">
        <v>33.78</v>
      </c>
      <c r="L177" s="60">
        <v>5.87</v>
      </c>
      <c r="M177" s="58" t="s">
        <v>22</v>
      </c>
      <c r="N177" s="58"/>
      <c r="O177" s="61">
        <f>Ordini!$K177+Ordini!$J177+Ordini!$L177</f>
        <v>52.64</v>
      </c>
      <c r="P177" s="61">
        <f>Ordini!$I177-Ordini!$O177</f>
        <v>16.349999999999994</v>
      </c>
      <c r="Q177" s="58" t="str">
        <f>IF(Ordini!$P177&lt;0,"DA EVITARE","OK")</f>
        <v>OK</v>
      </c>
      <c r="R177" s="58"/>
    </row>
    <row r="178" spans="1:18" s="62" customFormat="1" x14ac:dyDescent="0.25">
      <c r="A178" s="48" t="s">
        <v>100</v>
      </c>
      <c r="B178" s="49" t="s">
        <v>109</v>
      </c>
      <c r="C178" s="49" t="s">
        <v>20</v>
      </c>
      <c r="D178" s="49" t="s">
        <v>274</v>
      </c>
      <c r="E178" s="49" t="s">
        <v>355</v>
      </c>
      <c r="F178" s="50">
        <v>1</v>
      </c>
      <c r="G178" s="52">
        <v>13.73</v>
      </c>
      <c r="H178" s="51">
        <v>0</v>
      </c>
      <c r="I178" s="52">
        <f>Ordini!$G178/(1+Ordini!$H178)</f>
        <v>13.73</v>
      </c>
      <c r="J178" s="52">
        <v>2.23</v>
      </c>
      <c r="K178" s="52">
        <v>3.0011999999999999</v>
      </c>
      <c r="L178" s="52">
        <v>4.3600000000000003</v>
      </c>
      <c r="M178" s="50" t="s">
        <v>22</v>
      </c>
      <c r="N178" s="50"/>
      <c r="O178" s="53">
        <f>Ordini!$K178+Ordini!$J178+Ordini!$L178</f>
        <v>9.5912000000000006</v>
      </c>
      <c r="P178" s="53">
        <f>Ordini!$I178-Ordini!$O178</f>
        <v>4.1387999999999998</v>
      </c>
      <c r="Q178" s="50" t="str">
        <f>IF(Ordini!$P178&lt;0,"DA EVITARE","OK")</f>
        <v>OK</v>
      </c>
      <c r="R178" s="50"/>
    </row>
    <row r="179" spans="1:18" s="55" customFormat="1" x14ac:dyDescent="0.25">
      <c r="A179" s="56" t="s">
        <v>100</v>
      </c>
      <c r="B179" s="57" t="s">
        <v>109</v>
      </c>
      <c r="C179" s="57" t="s">
        <v>20</v>
      </c>
      <c r="D179" s="57" t="s">
        <v>275</v>
      </c>
      <c r="E179" s="57" t="s">
        <v>60</v>
      </c>
      <c r="F179" s="58">
        <v>1</v>
      </c>
      <c r="G179" s="60">
        <v>87.99</v>
      </c>
      <c r="H179" s="59">
        <v>0</v>
      </c>
      <c r="I179" s="60">
        <f>Ordini!$G179/(1+Ordini!$H179)</f>
        <v>87.99</v>
      </c>
      <c r="J179" s="60">
        <v>14.36</v>
      </c>
      <c r="K179" s="60">
        <v>39.76</v>
      </c>
      <c r="L179" s="60">
        <v>8.01</v>
      </c>
      <c r="M179" s="58" t="s">
        <v>22</v>
      </c>
      <c r="N179" s="58"/>
      <c r="O179" s="61">
        <f>Ordini!$K179+Ordini!$J179+Ordini!$L179</f>
        <v>62.129999999999995</v>
      </c>
      <c r="P179" s="61">
        <f>Ordini!$I179-Ordini!$O179</f>
        <v>25.86</v>
      </c>
      <c r="Q179" s="58" t="str">
        <f>IF(Ordini!$P179&lt;0,"DA EVITARE","OK")</f>
        <v>OK</v>
      </c>
      <c r="R179" s="58"/>
    </row>
    <row r="180" spans="1:18" s="62" customFormat="1" x14ac:dyDescent="0.25">
      <c r="A180" s="48" t="s">
        <v>100</v>
      </c>
      <c r="B180" s="49" t="s">
        <v>109</v>
      </c>
      <c r="C180" s="49" t="s">
        <v>20</v>
      </c>
      <c r="D180" s="49" t="s">
        <v>276</v>
      </c>
      <c r="E180" s="49" t="s">
        <v>60</v>
      </c>
      <c r="F180" s="50">
        <v>1</v>
      </c>
      <c r="G180" s="52">
        <v>87.99</v>
      </c>
      <c r="H180" s="51">
        <v>0</v>
      </c>
      <c r="I180" s="52">
        <f>Ordini!$G180/(1+Ordini!$H180)</f>
        <v>87.99</v>
      </c>
      <c r="J180" s="52">
        <v>14.36</v>
      </c>
      <c r="K180" s="52">
        <v>39.76</v>
      </c>
      <c r="L180" s="52">
        <v>8.01</v>
      </c>
      <c r="M180" s="50" t="s">
        <v>22</v>
      </c>
      <c r="N180" s="50"/>
      <c r="O180" s="53">
        <f>Ordini!$K180+Ordini!$J180+Ordini!$L180</f>
        <v>62.129999999999995</v>
      </c>
      <c r="P180" s="53">
        <f>Ordini!$I180-Ordini!$O180</f>
        <v>25.86</v>
      </c>
      <c r="Q180" s="50" t="str">
        <f>IF(Ordini!$P180&lt;0,"DA EVITARE","OK")</f>
        <v>OK</v>
      </c>
      <c r="R180" s="50"/>
    </row>
    <row r="181" spans="1:18" s="55" customFormat="1" x14ac:dyDescent="0.25">
      <c r="A181" s="56" t="s">
        <v>100</v>
      </c>
      <c r="B181" s="57" t="s">
        <v>109</v>
      </c>
      <c r="C181" s="57" t="s">
        <v>20</v>
      </c>
      <c r="D181" s="57" t="s">
        <v>277</v>
      </c>
      <c r="E181" s="57" t="s">
        <v>356</v>
      </c>
      <c r="F181" s="58">
        <v>1</v>
      </c>
      <c r="G181" s="60">
        <v>21.94</v>
      </c>
      <c r="H181" s="59">
        <v>0</v>
      </c>
      <c r="I181" s="60">
        <f>Ordini!$G181/(1+Ordini!$H181)</f>
        <v>21.94</v>
      </c>
      <c r="J181" s="60">
        <v>3.57</v>
      </c>
      <c r="K181" s="60">
        <v>8.9669999999999987</v>
      </c>
      <c r="L181" s="60">
        <v>4.3600000000000003</v>
      </c>
      <c r="M181" s="58" t="s">
        <v>22</v>
      </c>
      <c r="N181" s="58"/>
      <c r="O181" s="61">
        <f>Ordini!$K181+Ordini!$J181+Ordini!$L181</f>
        <v>16.896999999999998</v>
      </c>
      <c r="P181" s="61">
        <f>Ordini!$I181-Ordini!$O181</f>
        <v>5.0430000000000028</v>
      </c>
      <c r="Q181" s="58" t="str">
        <f>IF(Ordini!$P181&lt;0,"DA EVITARE","OK")</f>
        <v>OK</v>
      </c>
      <c r="R181" s="58"/>
    </row>
    <row r="182" spans="1:18" s="62" customFormat="1" x14ac:dyDescent="0.25">
      <c r="A182" s="48" t="s">
        <v>100</v>
      </c>
      <c r="B182" s="49" t="s">
        <v>110</v>
      </c>
      <c r="C182" s="49" t="s">
        <v>20</v>
      </c>
      <c r="D182" s="49" t="s">
        <v>278</v>
      </c>
      <c r="E182" s="49" t="s">
        <v>46</v>
      </c>
      <c r="F182" s="50">
        <v>1</v>
      </c>
      <c r="G182" s="52"/>
      <c r="H182" s="51">
        <v>0</v>
      </c>
      <c r="I182" s="52">
        <f>Ordini!$G182/(1+Ordini!$H182)</f>
        <v>0</v>
      </c>
      <c r="J182" s="52">
        <v>0</v>
      </c>
      <c r="K182" s="52"/>
      <c r="L182" s="52"/>
      <c r="M182" s="50" t="s">
        <v>25</v>
      </c>
      <c r="N182" s="50"/>
      <c r="O182" s="53">
        <f>Ordini!$K182+Ordini!$J182+Ordini!$L182</f>
        <v>0</v>
      </c>
      <c r="P182" s="53">
        <f>Ordini!$I182-Ordini!$O182</f>
        <v>0</v>
      </c>
      <c r="Q182" s="50" t="str">
        <f>IF(Ordini!$P182&lt;0,"DA EVITARE","OK")</f>
        <v>OK</v>
      </c>
      <c r="R182" s="50"/>
    </row>
    <row r="183" spans="1:18" s="55" customFormat="1" x14ac:dyDescent="0.25">
      <c r="A183" s="56" t="s">
        <v>100</v>
      </c>
      <c r="B183" s="57" t="s">
        <v>110</v>
      </c>
      <c r="C183" s="57" t="s">
        <v>20</v>
      </c>
      <c r="D183" s="57" t="s">
        <v>279</v>
      </c>
      <c r="E183" s="57" t="s">
        <v>50</v>
      </c>
      <c r="F183" s="58">
        <v>1</v>
      </c>
      <c r="G183" s="60">
        <v>15.73</v>
      </c>
      <c r="H183" s="59">
        <v>0</v>
      </c>
      <c r="I183" s="60">
        <f>Ordini!$G183/(1+Ordini!$H183)</f>
        <v>15.73</v>
      </c>
      <c r="J183" s="60">
        <v>0</v>
      </c>
      <c r="K183" s="60">
        <v>6.41</v>
      </c>
      <c r="L183" s="60">
        <v>4.7699999999999996</v>
      </c>
      <c r="M183" s="58" t="s">
        <v>22</v>
      </c>
      <c r="N183" s="58"/>
      <c r="O183" s="61">
        <f>Ordini!$K183+Ordini!$J183+Ordini!$L183</f>
        <v>11.18</v>
      </c>
      <c r="P183" s="61">
        <f>Ordini!$I183-Ordini!$O183</f>
        <v>4.5500000000000007</v>
      </c>
      <c r="Q183" s="58" t="str">
        <f>IF(Ordini!$P183&lt;0,"DA EVITARE","OK")</f>
        <v>OK</v>
      </c>
      <c r="R183" s="58"/>
    </row>
    <row r="184" spans="1:18" s="62" customFormat="1" x14ac:dyDescent="0.25">
      <c r="A184" s="48" t="s">
        <v>100</v>
      </c>
      <c r="B184" s="49" t="s">
        <v>110</v>
      </c>
      <c r="C184" s="49" t="s">
        <v>20</v>
      </c>
      <c r="D184" s="49" t="s">
        <v>280</v>
      </c>
      <c r="E184" s="49" t="s">
        <v>50</v>
      </c>
      <c r="F184" s="50">
        <v>1</v>
      </c>
      <c r="G184" s="52">
        <v>15.73</v>
      </c>
      <c r="H184" s="51">
        <v>0</v>
      </c>
      <c r="I184" s="52">
        <f>Ordini!$G184/(1+Ordini!$H184)</f>
        <v>15.73</v>
      </c>
      <c r="J184" s="52">
        <v>0</v>
      </c>
      <c r="K184" s="52">
        <v>6.41</v>
      </c>
      <c r="L184" s="52">
        <v>4.7699999999999996</v>
      </c>
      <c r="M184" s="50" t="s">
        <v>22</v>
      </c>
      <c r="N184" s="50"/>
      <c r="O184" s="53">
        <f>Ordini!$K184+Ordini!$J184+Ordini!$L184</f>
        <v>11.18</v>
      </c>
      <c r="P184" s="53">
        <f>Ordini!$I184-Ordini!$O184</f>
        <v>4.5500000000000007</v>
      </c>
      <c r="Q184" s="50" t="str">
        <f>IF(Ordini!$P184&lt;0,"DA EVITARE","OK")</f>
        <v>OK</v>
      </c>
      <c r="R184" s="50"/>
    </row>
    <row r="185" spans="1:18" s="55" customFormat="1" x14ac:dyDescent="0.25">
      <c r="A185" s="56" t="s">
        <v>100</v>
      </c>
      <c r="B185" s="57" t="s">
        <v>110</v>
      </c>
      <c r="C185" s="57" t="s">
        <v>20</v>
      </c>
      <c r="D185" s="57" t="s">
        <v>281</v>
      </c>
      <c r="E185" s="57" t="s">
        <v>50</v>
      </c>
      <c r="F185" s="58">
        <v>1</v>
      </c>
      <c r="G185" s="60">
        <v>15.73</v>
      </c>
      <c r="H185" s="59">
        <v>0</v>
      </c>
      <c r="I185" s="60">
        <f>Ordini!$G185/(1+Ordini!$H185)</f>
        <v>15.73</v>
      </c>
      <c r="J185" s="60">
        <v>0</v>
      </c>
      <c r="K185" s="60">
        <v>6.41</v>
      </c>
      <c r="L185" s="60">
        <v>4.7699999999999996</v>
      </c>
      <c r="M185" s="58" t="s">
        <v>22</v>
      </c>
      <c r="N185" s="58"/>
      <c r="O185" s="61">
        <f>Ordini!$K185+Ordini!$J185+Ordini!$L185</f>
        <v>11.18</v>
      </c>
      <c r="P185" s="61">
        <f>Ordini!$I185-Ordini!$O185</f>
        <v>4.5500000000000007</v>
      </c>
      <c r="Q185" s="58" t="str">
        <f>IF(Ordini!$P185&lt;0,"DA EVITARE","OK")</f>
        <v>OK</v>
      </c>
      <c r="R185" s="58"/>
    </row>
    <row r="186" spans="1:18" s="62" customFormat="1" x14ac:dyDescent="0.25">
      <c r="A186" s="48" t="s">
        <v>100</v>
      </c>
      <c r="B186" s="49" t="s">
        <v>111</v>
      </c>
      <c r="C186" s="49" t="s">
        <v>20</v>
      </c>
      <c r="D186" s="49" t="s">
        <v>282</v>
      </c>
      <c r="E186" s="49" t="s">
        <v>63</v>
      </c>
      <c r="F186" s="50">
        <v>1</v>
      </c>
      <c r="G186" s="52">
        <v>93.88</v>
      </c>
      <c r="H186" s="51">
        <v>0</v>
      </c>
      <c r="I186" s="52">
        <f>Ordini!$G186/(1+Ordini!$H186)</f>
        <v>93.88</v>
      </c>
      <c r="J186" s="52">
        <v>12.89</v>
      </c>
      <c r="K186" s="52">
        <v>42.629999999999995</v>
      </c>
      <c r="L186" s="52">
        <v>8.4</v>
      </c>
      <c r="M186" s="50" t="s">
        <v>22</v>
      </c>
      <c r="N186" s="50"/>
      <c r="O186" s="53">
        <f>Ordini!$K186+Ordini!$J186+Ordini!$L186</f>
        <v>63.919999999999995</v>
      </c>
      <c r="P186" s="53">
        <f>Ordini!$I186-Ordini!$O186</f>
        <v>29.96</v>
      </c>
      <c r="Q186" s="50" t="str">
        <f>IF(Ordini!$P186&lt;0,"DA EVITARE","OK")</f>
        <v>OK</v>
      </c>
      <c r="R186" s="50"/>
    </row>
    <row r="187" spans="1:18" s="55" customFormat="1" x14ac:dyDescent="0.25">
      <c r="A187" s="56" t="s">
        <v>101</v>
      </c>
      <c r="B187" s="57" t="s">
        <v>109</v>
      </c>
      <c r="C187" s="57" t="s">
        <v>20</v>
      </c>
      <c r="D187" s="57" t="s">
        <v>283</v>
      </c>
      <c r="E187" s="57" t="s">
        <v>60</v>
      </c>
      <c r="F187" s="58">
        <v>1</v>
      </c>
      <c r="G187" s="60">
        <v>87.99</v>
      </c>
      <c r="H187" s="59">
        <v>0</v>
      </c>
      <c r="I187" s="60">
        <f>Ordini!$G187/(1+Ordini!$H187)</f>
        <v>87.99</v>
      </c>
      <c r="J187" s="60">
        <v>14.38</v>
      </c>
      <c r="K187" s="60">
        <v>39.76</v>
      </c>
      <c r="L187" s="60">
        <v>8.01</v>
      </c>
      <c r="M187" s="58" t="s">
        <v>22</v>
      </c>
      <c r="N187" s="58"/>
      <c r="O187" s="61">
        <f>Ordini!$K187+Ordini!$J187+Ordini!$L187</f>
        <v>62.15</v>
      </c>
      <c r="P187" s="61">
        <f>Ordini!$I187-Ordini!$O187</f>
        <v>25.839999999999996</v>
      </c>
      <c r="Q187" s="58" t="str">
        <f>IF(Ordini!$P187&lt;0,"DA EVITARE","OK")</f>
        <v>OK</v>
      </c>
      <c r="R187" s="58"/>
    </row>
    <row r="188" spans="1:18" s="62" customFormat="1" x14ac:dyDescent="0.25">
      <c r="A188" s="48" t="s">
        <v>101</v>
      </c>
      <c r="B188" s="49" t="s">
        <v>109</v>
      </c>
      <c r="C188" s="49" t="s">
        <v>20</v>
      </c>
      <c r="D188" s="49" t="s">
        <v>284</v>
      </c>
      <c r="E188" s="49" t="s">
        <v>71</v>
      </c>
      <c r="F188" s="50">
        <v>1</v>
      </c>
      <c r="G188" s="52">
        <v>68.900000000000006</v>
      </c>
      <c r="H188" s="51">
        <v>0</v>
      </c>
      <c r="I188" s="52">
        <f>Ordini!$G188/(1+Ordini!$H188)</f>
        <v>68.900000000000006</v>
      </c>
      <c r="J188" s="52">
        <v>11.27</v>
      </c>
      <c r="K188" s="52">
        <v>32.049999999999997</v>
      </c>
      <c r="L188" s="52">
        <v>5.87</v>
      </c>
      <c r="M188" s="50" t="s">
        <v>22</v>
      </c>
      <c r="N188" s="50"/>
      <c r="O188" s="53">
        <f>Ordini!$K188+Ordini!$J188+Ordini!$L188</f>
        <v>49.189999999999991</v>
      </c>
      <c r="P188" s="53">
        <f>Ordini!$I188-Ordini!$O188</f>
        <v>19.710000000000015</v>
      </c>
      <c r="Q188" s="50" t="str">
        <f>IF(Ordini!$P188&lt;0,"DA EVITARE","OK")</f>
        <v>OK</v>
      </c>
      <c r="R188" s="50"/>
    </row>
    <row r="189" spans="1:18" s="55" customFormat="1" x14ac:dyDescent="0.25">
      <c r="A189" s="56" t="s">
        <v>101</v>
      </c>
      <c r="B189" s="57" t="s">
        <v>109</v>
      </c>
      <c r="C189" s="57" t="s">
        <v>20</v>
      </c>
      <c r="D189" s="57" t="s">
        <v>285</v>
      </c>
      <c r="E189" s="57" t="s">
        <v>357</v>
      </c>
      <c r="F189" s="58">
        <v>1</v>
      </c>
      <c r="G189" s="60">
        <v>50.32</v>
      </c>
      <c r="H189" s="59">
        <v>0</v>
      </c>
      <c r="I189" s="60">
        <f>Ordini!$G189/(1+Ordini!$H189)</f>
        <v>50.32</v>
      </c>
      <c r="J189" s="60">
        <v>8.23</v>
      </c>
      <c r="K189" s="60">
        <v>29.572799999999997</v>
      </c>
      <c r="L189" s="60">
        <v>4.3600000000000003</v>
      </c>
      <c r="M189" s="58" t="s">
        <v>22</v>
      </c>
      <c r="N189" s="58"/>
      <c r="O189" s="61">
        <f>Ordini!$K189+Ordini!$J189+Ordini!$L189</f>
        <v>42.162799999999997</v>
      </c>
      <c r="P189" s="61">
        <f>Ordini!$I189-Ordini!$O189</f>
        <v>8.1572000000000031</v>
      </c>
      <c r="Q189" s="58" t="str">
        <f>IF(Ordini!$P189&lt;0,"DA EVITARE","OK")</f>
        <v>OK</v>
      </c>
      <c r="R189" s="58"/>
    </row>
    <row r="190" spans="1:18" s="62" customFormat="1" x14ac:dyDescent="0.25">
      <c r="A190" s="48" t="s">
        <v>101</v>
      </c>
      <c r="B190" s="49" t="s">
        <v>109</v>
      </c>
      <c r="C190" s="49" t="s">
        <v>20</v>
      </c>
      <c r="D190" s="49" t="s">
        <v>286</v>
      </c>
      <c r="E190" s="49" t="s">
        <v>339</v>
      </c>
      <c r="F190" s="50">
        <v>2</v>
      </c>
      <c r="G190" s="52">
        <v>24</v>
      </c>
      <c r="H190" s="51">
        <v>0</v>
      </c>
      <c r="I190" s="52">
        <f>Ordini!$G190/(1+Ordini!$H190)</f>
        <v>24</v>
      </c>
      <c r="J190" s="52">
        <v>4.54</v>
      </c>
      <c r="K190" s="52">
        <v>15.38</v>
      </c>
      <c r="L190" s="52">
        <v>4.7699999999999996</v>
      </c>
      <c r="M190" s="50" t="s">
        <v>22</v>
      </c>
      <c r="N190" s="50"/>
      <c r="O190" s="53">
        <f>Ordini!$K190+Ordini!$J190+Ordini!$L190</f>
        <v>24.69</v>
      </c>
      <c r="P190" s="53">
        <f>Ordini!$I190-Ordini!$O190</f>
        <v>-0.69000000000000128</v>
      </c>
      <c r="Q190" s="50" t="str">
        <f>IF(Ordini!$P190&lt;0,"DA EVITARE","OK")</f>
        <v>DA EVITARE</v>
      </c>
      <c r="R190" s="50"/>
    </row>
    <row r="191" spans="1:18" s="55" customFormat="1" x14ac:dyDescent="0.25">
      <c r="A191" s="56" t="s">
        <v>101</v>
      </c>
      <c r="B191" s="57" t="s">
        <v>109</v>
      </c>
      <c r="C191" s="57" t="s">
        <v>20</v>
      </c>
      <c r="D191" s="57" t="s">
        <v>287</v>
      </c>
      <c r="E191" s="57" t="s">
        <v>358</v>
      </c>
      <c r="F191" s="58">
        <v>1</v>
      </c>
      <c r="G191" s="60">
        <v>52</v>
      </c>
      <c r="H191" s="59">
        <v>0</v>
      </c>
      <c r="I191" s="60">
        <f>Ordini!$G191/(1+Ordini!$H191)</f>
        <v>52</v>
      </c>
      <c r="J191" s="60">
        <v>9.81</v>
      </c>
      <c r="K191" s="60">
        <v>30.768399999999996</v>
      </c>
      <c r="L191" s="60">
        <v>4.7699999999999996</v>
      </c>
      <c r="M191" s="58" t="s">
        <v>22</v>
      </c>
      <c r="N191" s="58"/>
      <c r="O191" s="61">
        <f>Ordini!$K191+Ordini!$J191+Ordini!$L191</f>
        <v>45.348399999999998</v>
      </c>
      <c r="P191" s="61">
        <f>Ordini!$I191-Ordini!$O191</f>
        <v>6.651600000000002</v>
      </c>
      <c r="Q191" s="58" t="str">
        <f>IF(Ordini!$P191&lt;0,"DA EVITARE","OK")</f>
        <v>OK</v>
      </c>
      <c r="R191" s="58"/>
    </row>
    <row r="192" spans="1:18" s="62" customFormat="1" x14ac:dyDescent="0.25">
      <c r="A192" s="48" t="s">
        <v>101</v>
      </c>
      <c r="B192" s="49" t="s">
        <v>109</v>
      </c>
      <c r="C192" s="49" t="s">
        <v>20</v>
      </c>
      <c r="D192" s="49" t="s">
        <v>288</v>
      </c>
      <c r="E192" s="49" t="s">
        <v>65</v>
      </c>
      <c r="F192" s="50">
        <v>1</v>
      </c>
      <c r="G192" s="52">
        <v>68.989999999999995</v>
      </c>
      <c r="H192" s="51">
        <v>0</v>
      </c>
      <c r="I192" s="52">
        <f>Ordini!$G192/(1+Ordini!$H192)</f>
        <v>68.989999999999995</v>
      </c>
      <c r="J192" s="52">
        <v>13.01</v>
      </c>
      <c r="K192" s="52">
        <v>33.78</v>
      </c>
      <c r="L192" s="52">
        <v>5.87</v>
      </c>
      <c r="M192" s="50" t="s">
        <v>22</v>
      </c>
      <c r="N192" s="50"/>
      <c r="O192" s="53">
        <f>Ordini!$K192+Ordini!$J192+Ordini!$L192</f>
        <v>52.66</v>
      </c>
      <c r="P192" s="53">
        <f>Ordini!$I192-Ordini!$O192</f>
        <v>16.329999999999998</v>
      </c>
      <c r="Q192" s="50" t="str">
        <f>IF(Ordini!$P192&lt;0,"DA EVITARE","OK")</f>
        <v>OK</v>
      </c>
      <c r="R192" s="50"/>
    </row>
    <row r="193" spans="1:18" s="55" customFormat="1" x14ac:dyDescent="0.25">
      <c r="A193" s="56" t="s">
        <v>101</v>
      </c>
      <c r="B193" s="57" t="s">
        <v>109</v>
      </c>
      <c r="C193" s="57" t="s">
        <v>20</v>
      </c>
      <c r="D193" s="57" t="s">
        <v>289</v>
      </c>
      <c r="E193" s="57" t="s">
        <v>344</v>
      </c>
      <c r="F193" s="58">
        <v>1</v>
      </c>
      <c r="G193" s="60">
        <v>44.34</v>
      </c>
      <c r="H193" s="59">
        <v>0</v>
      </c>
      <c r="I193" s="60">
        <f>Ordini!$G193/(1+Ordini!$H193)</f>
        <v>44.34</v>
      </c>
      <c r="J193" s="60">
        <v>8.3699999999999992</v>
      </c>
      <c r="K193" s="60">
        <v>28.852999999999998</v>
      </c>
      <c r="L193" s="60">
        <v>4.8499999999999996</v>
      </c>
      <c r="M193" s="58" t="s">
        <v>22</v>
      </c>
      <c r="N193" s="58"/>
      <c r="O193" s="61">
        <f>Ordini!$K193+Ordini!$J193+Ordini!$L193</f>
        <v>42.073</v>
      </c>
      <c r="P193" s="61">
        <f>Ordini!$I193-Ordini!$O193</f>
        <v>2.267000000000003</v>
      </c>
      <c r="Q193" s="58" t="str">
        <f>IF(Ordini!$P193&lt;0,"DA EVITARE","OK")</f>
        <v>OK</v>
      </c>
      <c r="R193" s="58"/>
    </row>
    <row r="194" spans="1:18" s="62" customFormat="1" x14ac:dyDescent="0.25">
      <c r="A194" s="48" t="s">
        <v>101</v>
      </c>
      <c r="B194" s="49" t="s">
        <v>110</v>
      </c>
      <c r="C194" s="49" t="s">
        <v>20</v>
      </c>
      <c r="D194" s="49" t="s">
        <v>290</v>
      </c>
      <c r="E194" s="49" t="s">
        <v>56</v>
      </c>
      <c r="F194" s="50">
        <v>1</v>
      </c>
      <c r="G194" s="52">
        <v>18.71</v>
      </c>
      <c r="H194" s="51">
        <v>0</v>
      </c>
      <c r="I194" s="52">
        <f>Ordini!$G194/(1+Ordini!$H194)</f>
        <v>18.71</v>
      </c>
      <c r="J194" s="52">
        <v>0</v>
      </c>
      <c r="K194" s="52">
        <v>6.62</v>
      </c>
      <c r="L194" s="52">
        <v>4.7699999999999996</v>
      </c>
      <c r="M194" s="50" t="s">
        <v>22</v>
      </c>
      <c r="N194" s="50"/>
      <c r="O194" s="53">
        <f>Ordini!$K194+Ordini!$J194+Ordini!$L194</f>
        <v>11.39</v>
      </c>
      <c r="P194" s="53">
        <f>Ordini!$I194-Ordini!$O194</f>
        <v>7.32</v>
      </c>
      <c r="Q194" s="50" t="str">
        <f>IF(Ordini!$P194&lt;0,"DA EVITARE","OK")</f>
        <v>OK</v>
      </c>
      <c r="R194" s="50"/>
    </row>
    <row r="195" spans="1:18" s="55" customFormat="1" x14ac:dyDescent="0.25">
      <c r="A195" s="56" t="s">
        <v>101</v>
      </c>
      <c r="B195" s="57" t="s">
        <v>110</v>
      </c>
      <c r="C195" s="57" t="s">
        <v>20</v>
      </c>
      <c r="D195" s="57" t="s">
        <v>291</v>
      </c>
      <c r="E195" s="57" t="s">
        <v>60</v>
      </c>
      <c r="F195" s="58">
        <v>1</v>
      </c>
      <c r="G195" s="60">
        <v>53.86</v>
      </c>
      <c r="H195" s="59">
        <v>0</v>
      </c>
      <c r="I195" s="60">
        <f>Ordini!$G195/(1+Ordini!$H195)</f>
        <v>53.86</v>
      </c>
      <c r="J195" s="60">
        <v>0</v>
      </c>
      <c r="K195" s="60">
        <v>39.76</v>
      </c>
      <c r="L195" s="60">
        <v>8.01</v>
      </c>
      <c r="M195" s="58" t="s">
        <v>22</v>
      </c>
      <c r="N195" s="58"/>
      <c r="O195" s="61">
        <f>Ordini!$K195+Ordini!$J195+Ordini!$L195</f>
        <v>47.769999999999996</v>
      </c>
      <c r="P195" s="61">
        <f>Ordini!$I195-Ordini!$O195</f>
        <v>6.0900000000000034</v>
      </c>
      <c r="Q195" s="58" t="str">
        <f>IF(Ordini!$P195&lt;0,"DA EVITARE","OK")</f>
        <v>OK</v>
      </c>
      <c r="R195" s="58" t="s">
        <v>408</v>
      </c>
    </row>
    <row r="196" spans="1:18" s="62" customFormat="1" x14ac:dyDescent="0.25">
      <c r="A196" s="48" t="s">
        <v>101</v>
      </c>
      <c r="B196" s="49" t="s">
        <v>110</v>
      </c>
      <c r="C196" s="49" t="s">
        <v>20</v>
      </c>
      <c r="D196" s="49" t="s">
        <v>292</v>
      </c>
      <c r="E196" s="49" t="s">
        <v>340</v>
      </c>
      <c r="F196" s="50">
        <v>1</v>
      </c>
      <c r="G196" s="52">
        <v>54.19</v>
      </c>
      <c r="H196" s="51">
        <v>0</v>
      </c>
      <c r="I196" s="52">
        <f>Ordini!$G196/(1+Ordini!$H196)</f>
        <v>54.19</v>
      </c>
      <c r="J196" s="52">
        <v>0</v>
      </c>
      <c r="K196" s="52">
        <v>42.541399999999996</v>
      </c>
      <c r="L196" s="52">
        <v>12.5</v>
      </c>
      <c r="M196" s="50" t="s">
        <v>22</v>
      </c>
      <c r="N196" s="50"/>
      <c r="O196" s="53">
        <f>Ordini!$K196+Ordini!$J196+Ordini!$L196</f>
        <v>55.041399999999996</v>
      </c>
      <c r="P196" s="53">
        <f>Ordini!$I196-Ordini!$O196</f>
        <v>-0.85139999999999816</v>
      </c>
      <c r="Q196" s="50" t="str">
        <f>IF(Ordini!$P196&lt;0,"DA EVITARE","OK")</f>
        <v>DA EVITARE</v>
      </c>
      <c r="R196" s="50"/>
    </row>
    <row r="197" spans="1:18" s="55" customFormat="1" x14ac:dyDescent="0.25">
      <c r="A197" s="56" t="s">
        <v>101</v>
      </c>
      <c r="B197" s="57" t="s">
        <v>110</v>
      </c>
      <c r="C197" s="57" t="s">
        <v>20</v>
      </c>
      <c r="D197" s="57" t="s">
        <v>293</v>
      </c>
      <c r="E197" s="57" t="s">
        <v>46</v>
      </c>
      <c r="F197" s="58">
        <v>1</v>
      </c>
      <c r="G197" s="60">
        <v>23.68</v>
      </c>
      <c r="H197" s="59">
        <v>0</v>
      </c>
      <c r="I197" s="60">
        <f>Ordini!$G197/(1+Ordini!$H197)</f>
        <v>23.68</v>
      </c>
      <c r="J197" s="60">
        <v>0</v>
      </c>
      <c r="K197" s="60">
        <v>10.82</v>
      </c>
      <c r="L197" s="60">
        <v>4.7699999999999996</v>
      </c>
      <c r="M197" s="58" t="s">
        <v>22</v>
      </c>
      <c r="N197" s="58"/>
      <c r="O197" s="61">
        <f>Ordini!$K197+Ordini!$J197+Ordini!$L197</f>
        <v>15.59</v>
      </c>
      <c r="P197" s="61">
        <f>Ordini!$I197-Ordini!$O197</f>
        <v>8.09</v>
      </c>
      <c r="Q197" s="58" t="str">
        <f>IF(Ordini!$P197&lt;0,"DA EVITARE","OK")</f>
        <v>OK</v>
      </c>
      <c r="R197" s="58"/>
    </row>
    <row r="198" spans="1:18" s="62" customFormat="1" x14ac:dyDescent="0.25">
      <c r="A198" s="48" t="s">
        <v>101</v>
      </c>
      <c r="B198" s="49" t="s">
        <v>110</v>
      </c>
      <c r="C198" s="49" t="s">
        <v>20</v>
      </c>
      <c r="D198" s="49" t="s">
        <v>294</v>
      </c>
      <c r="E198" s="49" t="s">
        <v>56</v>
      </c>
      <c r="F198" s="50">
        <v>1</v>
      </c>
      <c r="G198" s="52">
        <v>19.02</v>
      </c>
      <c r="H198" s="51">
        <v>0</v>
      </c>
      <c r="I198" s="52">
        <f>Ordini!$G198/(1+Ordini!$H198)</f>
        <v>19.02</v>
      </c>
      <c r="J198" s="52">
        <v>0</v>
      </c>
      <c r="K198" s="52">
        <v>6.62</v>
      </c>
      <c r="L198" s="52">
        <v>4.7699999999999996</v>
      </c>
      <c r="M198" s="50" t="s">
        <v>22</v>
      </c>
      <c r="N198" s="50"/>
      <c r="O198" s="53">
        <f>Ordini!$K198+Ordini!$J198+Ordini!$L198</f>
        <v>11.39</v>
      </c>
      <c r="P198" s="53">
        <f>Ordini!$I198-Ordini!$O198</f>
        <v>7.629999999999999</v>
      </c>
      <c r="Q198" s="50" t="str">
        <f>IF(Ordini!$P198&lt;0,"DA EVITARE","OK")</f>
        <v>OK</v>
      </c>
      <c r="R198" s="50"/>
    </row>
    <row r="199" spans="1:18" s="55" customFormat="1" x14ac:dyDescent="0.25">
      <c r="A199" s="56" t="s">
        <v>101</v>
      </c>
      <c r="B199" s="57" t="s">
        <v>110</v>
      </c>
      <c r="C199" s="57" t="s">
        <v>20</v>
      </c>
      <c r="D199" s="57" t="s">
        <v>295</v>
      </c>
      <c r="E199" s="57" t="s">
        <v>73</v>
      </c>
      <c r="F199" s="58">
        <v>1</v>
      </c>
      <c r="G199" s="60">
        <v>34.659999999999997</v>
      </c>
      <c r="H199" s="59">
        <v>0</v>
      </c>
      <c r="I199" s="60">
        <f>Ordini!$G199/(1+Ordini!$H199)</f>
        <v>34.659999999999997</v>
      </c>
      <c r="J199" s="60">
        <v>0</v>
      </c>
      <c r="K199" s="60">
        <v>14.47</v>
      </c>
      <c r="L199" s="60">
        <v>7.1</v>
      </c>
      <c r="M199" s="58" t="s">
        <v>22</v>
      </c>
      <c r="N199" s="58"/>
      <c r="O199" s="61">
        <f>Ordini!$K199+Ordini!$J199+Ordini!$L199</f>
        <v>21.57</v>
      </c>
      <c r="P199" s="61">
        <f>Ordini!$I199-Ordini!$O199</f>
        <v>13.089999999999996</v>
      </c>
      <c r="Q199" s="58" t="str">
        <f>IF(Ordini!$P199&lt;0,"DA EVITARE","OK")</f>
        <v>OK</v>
      </c>
      <c r="R199" s="58"/>
    </row>
    <row r="200" spans="1:18" s="62" customFormat="1" x14ac:dyDescent="0.25">
      <c r="A200" s="48" t="s">
        <v>101</v>
      </c>
      <c r="B200" s="49" t="s">
        <v>111</v>
      </c>
      <c r="C200" s="49" t="s">
        <v>20</v>
      </c>
      <c r="D200" s="49" t="s">
        <v>296</v>
      </c>
      <c r="E200" s="49" t="s">
        <v>72</v>
      </c>
      <c r="F200" s="50">
        <v>1</v>
      </c>
      <c r="G200" s="52">
        <v>22.53</v>
      </c>
      <c r="H200" s="51">
        <v>0</v>
      </c>
      <c r="I200" s="52">
        <f>Ordini!$G200/(1+Ordini!$H200)</f>
        <v>22.53</v>
      </c>
      <c r="J200" s="52">
        <v>3.58</v>
      </c>
      <c r="K200" s="52">
        <v>6.18</v>
      </c>
      <c r="L200" s="52">
        <v>4.7699999999999996</v>
      </c>
      <c r="M200" s="50" t="s">
        <v>22</v>
      </c>
      <c r="N200" s="50"/>
      <c r="O200" s="53">
        <f>Ordini!$K200+Ordini!$J200+Ordini!$L200</f>
        <v>14.53</v>
      </c>
      <c r="P200" s="53">
        <f>Ordini!$I200-Ordini!$O200</f>
        <v>8.0000000000000018</v>
      </c>
      <c r="Q200" s="50" t="str">
        <f>IF(Ordini!$P200&lt;0,"DA EVITARE","OK")</f>
        <v>OK</v>
      </c>
      <c r="R200" s="50"/>
    </row>
    <row r="201" spans="1:18" s="55" customFormat="1" x14ac:dyDescent="0.25">
      <c r="A201" s="56" t="s">
        <v>101</v>
      </c>
      <c r="B201" s="57" t="s">
        <v>111</v>
      </c>
      <c r="C201" s="57" t="s">
        <v>20</v>
      </c>
      <c r="D201" s="57" t="s">
        <v>297</v>
      </c>
      <c r="E201" s="57" t="s">
        <v>74</v>
      </c>
      <c r="F201" s="58">
        <v>1</v>
      </c>
      <c r="G201" s="60">
        <v>54.99</v>
      </c>
      <c r="H201" s="59">
        <v>0</v>
      </c>
      <c r="I201" s="60">
        <f>Ordini!$G201/(1+Ordini!$H201)</f>
        <v>54.99</v>
      </c>
      <c r="J201" s="60">
        <v>5.21</v>
      </c>
      <c r="K201" s="60">
        <v>50</v>
      </c>
      <c r="L201" s="60">
        <v>8.8000000000000007</v>
      </c>
      <c r="M201" s="58" t="s">
        <v>22</v>
      </c>
      <c r="N201" s="58"/>
      <c r="O201" s="61">
        <f>Ordini!$K201+Ordini!$J201+Ordini!$L201</f>
        <v>64.010000000000005</v>
      </c>
      <c r="P201" s="61">
        <f>Ordini!$I201-Ordini!$O201</f>
        <v>-9.0200000000000031</v>
      </c>
      <c r="Q201" s="58" t="str">
        <f>IF(Ordini!$P201&lt;0,"DA EVITARE","OK")</f>
        <v>DA EVITARE</v>
      </c>
      <c r="R201" s="58"/>
    </row>
    <row r="202" spans="1:18" s="62" customFormat="1" x14ac:dyDescent="0.25">
      <c r="A202" s="48" t="s">
        <v>101</v>
      </c>
      <c r="B202" s="49" t="s">
        <v>111</v>
      </c>
      <c r="C202" s="49" t="s">
        <v>20</v>
      </c>
      <c r="D202" s="49" t="s">
        <v>298</v>
      </c>
      <c r="E202" s="49" t="s">
        <v>74</v>
      </c>
      <c r="F202" s="50">
        <v>1</v>
      </c>
      <c r="G202" s="52">
        <v>54.99</v>
      </c>
      <c r="H202" s="51">
        <v>0</v>
      </c>
      <c r="I202" s="52">
        <f>Ordini!$G202/(1+Ordini!$H202)</f>
        <v>54.99</v>
      </c>
      <c r="J202" s="52">
        <v>5.21</v>
      </c>
      <c r="K202" s="52">
        <v>50</v>
      </c>
      <c r="L202" s="52">
        <v>8.8000000000000007</v>
      </c>
      <c r="M202" s="50" t="s">
        <v>22</v>
      </c>
      <c r="N202" s="50"/>
      <c r="O202" s="53">
        <f>Ordini!$K202+Ordini!$J202+Ordini!$L202</f>
        <v>64.010000000000005</v>
      </c>
      <c r="P202" s="53">
        <f>Ordini!$I202-Ordini!$O202</f>
        <v>-9.0200000000000031</v>
      </c>
      <c r="Q202" s="50" t="str">
        <f>IF(Ordini!$P202&lt;0,"DA EVITARE","OK")</f>
        <v>DA EVITARE</v>
      </c>
      <c r="R202" s="50"/>
    </row>
    <row r="203" spans="1:18" s="55" customFormat="1" x14ac:dyDescent="0.25">
      <c r="A203" s="56" t="s">
        <v>102</v>
      </c>
      <c r="B203" s="57" t="s">
        <v>109</v>
      </c>
      <c r="C203" s="57" t="s">
        <v>20</v>
      </c>
      <c r="D203" s="57" t="s">
        <v>299</v>
      </c>
      <c r="E203" s="57" t="s">
        <v>359</v>
      </c>
      <c r="F203" s="58">
        <v>1</v>
      </c>
      <c r="G203" s="60">
        <v>25.03</v>
      </c>
      <c r="H203" s="59">
        <v>0</v>
      </c>
      <c r="I203" s="60">
        <f>Ordini!$G203/(1+Ordini!$H203)</f>
        <v>25.03</v>
      </c>
      <c r="J203" s="60">
        <v>4.72</v>
      </c>
      <c r="K203" s="60">
        <v>11.211799999999998</v>
      </c>
      <c r="L203" s="60">
        <v>4.3600000000000003</v>
      </c>
      <c r="M203" s="58" t="s">
        <v>22</v>
      </c>
      <c r="N203" s="58"/>
      <c r="O203" s="61">
        <f>Ordini!$K203+Ordini!$J203+Ordini!$L203</f>
        <v>20.291799999999999</v>
      </c>
      <c r="P203" s="61">
        <f>Ordini!$I203-Ordini!$O203</f>
        <v>4.7382000000000026</v>
      </c>
      <c r="Q203" s="58" t="str">
        <f>IF(Ordini!$P203&lt;0,"DA EVITARE","OK")</f>
        <v>OK</v>
      </c>
      <c r="R203" s="58"/>
    </row>
    <row r="204" spans="1:18" s="62" customFormat="1" x14ac:dyDescent="0.25">
      <c r="A204" s="48" t="s">
        <v>102</v>
      </c>
      <c r="B204" s="49" t="s">
        <v>109</v>
      </c>
      <c r="C204" s="49" t="s">
        <v>20</v>
      </c>
      <c r="D204" s="49" t="s">
        <v>300</v>
      </c>
      <c r="E204" s="49" t="s">
        <v>65</v>
      </c>
      <c r="F204" s="50">
        <v>1</v>
      </c>
      <c r="G204" s="52">
        <v>68.989999999999995</v>
      </c>
      <c r="H204" s="51">
        <v>0</v>
      </c>
      <c r="I204" s="52">
        <f>Ordini!$G204/(1+Ordini!$H204)</f>
        <v>68.989999999999995</v>
      </c>
      <c r="J204" s="52">
        <v>13.01</v>
      </c>
      <c r="K204" s="52">
        <v>33.78</v>
      </c>
      <c r="L204" s="52">
        <v>5.87</v>
      </c>
      <c r="M204" s="50" t="s">
        <v>22</v>
      </c>
      <c r="N204" s="50"/>
      <c r="O204" s="53">
        <f>Ordini!$K204+Ordini!$J204+Ordini!$L204</f>
        <v>52.66</v>
      </c>
      <c r="P204" s="53">
        <f>Ordini!$I204-Ordini!$O204</f>
        <v>16.329999999999998</v>
      </c>
      <c r="Q204" s="50" t="str">
        <f>IF(Ordini!$P204&lt;0,"DA EVITARE","OK")</f>
        <v>OK</v>
      </c>
      <c r="R204" s="50"/>
    </row>
    <row r="205" spans="1:18" s="55" customFormat="1" x14ac:dyDescent="0.25">
      <c r="A205" s="56" t="s">
        <v>102</v>
      </c>
      <c r="B205" s="57" t="s">
        <v>110</v>
      </c>
      <c r="C205" s="57" t="s">
        <v>20</v>
      </c>
      <c r="D205" s="57" t="s">
        <v>301</v>
      </c>
      <c r="E205" s="57" t="s">
        <v>73</v>
      </c>
      <c r="F205" s="58">
        <v>1</v>
      </c>
      <c r="G205" s="60">
        <v>34.659999999999997</v>
      </c>
      <c r="H205" s="59">
        <v>0</v>
      </c>
      <c r="I205" s="60">
        <f>Ordini!$G205/(1+Ordini!$H205)</f>
        <v>34.659999999999997</v>
      </c>
      <c r="J205" s="60">
        <v>0</v>
      </c>
      <c r="K205" s="60">
        <v>14.47</v>
      </c>
      <c r="L205" s="60">
        <v>7.1</v>
      </c>
      <c r="M205" s="58" t="s">
        <v>22</v>
      </c>
      <c r="N205" s="58"/>
      <c r="O205" s="61">
        <f>Ordini!$K205+Ordini!$J205+Ordini!$L205</f>
        <v>21.57</v>
      </c>
      <c r="P205" s="61">
        <f>Ordini!$I205-Ordini!$O205</f>
        <v>13.089999999999996</v>
      </c>
      <c r="Q205" s="58" t="str">
        <f>IF(Ordini!$P205&lt;0,"DA EVITARE","OK")</f>
        <v>OK</v>
      </c>
      <c r="R205" s="58"/>
    </row>
    <row r="206" spans="1:18" s="62" customFormat="1" x14ac:dyDescent="0.25">
      <c r="A206" s="48" t="s">
        <v>102</v>
      </c>
      <c r="B206" s="49" t="s">
        <v>110</v>
      </c>
      <c r="C206" s="49" t="s">
        <v>20</v>
      </c>
      <c r="D206" s="49" t="s">
        <v>302</v>
      </c>
      <c r="E206" s="49" t="s">
        <v>396</v>
      </c>
      <c r="F206" s="50">
        <v>1</v>
      </c>
      <c r="G206" s="52">
        <v>17.27</v>
      </c>
      <c r="H206" s="51">
        <v>0</v>
      </c>
      <c r="I206" s="52">
        <f>Ordini!$G206/(1+Ordini!$H206)</f>
        <v>17.27</v>
      </c>
      <c r="J206" s="52">
        <v>0</v>
      </c>
      <c r="K206" s="52">
        <v>10.918999999999999</v>
      </c>
      <c r="L206" s="52">
        <v>4.3600000000000003</v>
      </c>
      <c r="M206" s="50" t="s">
        <v>22</v>
      </c>
      <c r="N206" s="50"/>
      <c r="O206" s="53">
        <f>Ordini!$K206+Ordini!$J206+Ordini!$L206</f>
        <v>15.279</v>
      </c>
      <c r="P206" s="53">
        <f>Ordini!$I206-Ordini!$O206</f>
        <v>1.9909999999999997</v>
      </c>
      <c r="Q206" s="50" t="str">
        <f>IF(Ordini!$P206&lt;0,"DA EVITARE","OK")</f>
        <v>OK</v>
      </c>
      <c r="R206" s="50"/>
    </row>
    <row r="207" spans="1:18" s="55" customFormat="1" x14ac:dyDescent="0.25">
      <c r="A207" s="56">
        <v>46137</v>
      </c>
      <c r="B207" s="57" t="s">
        <v>363</v>
      </c>
      <c r="C207" s="57" t="s">
        <v>20</v>
      </c>
      <c r="D207" s="57" t="s">
        <v>380</v>
      </c>
      <c r="E207" s="57" t="s">
        <v>393</v>
      </c>
      <c r="F207" s="58">
        <v>1</v>
      </c>
      <c r="G207" s="60">
        <v>26.31</v>
      </c>
      <c r="H207" s="59">
        <v>0</v>
      </c>
      <c r="I207" s="60">
        <f>Ordini!$G207/(1+Ordini!$H207)</f>
        <v>26.31</v>
      </c>
      <c r="J207" s="60">
        <v>3.16</v>
      </c>
      <c r="K207" s="60">
        <v>13.3956</v>
      </c>
      <c r="L207" s="60">
        <v>4.3600000000000003</v>
      </c>
      <c r="M207" s="58" t="s">
        <v>34</v>
      </c>
      <c r="N207" s="58"/>
      <c r="O207" s="61">
        <f>Ordini!$K207+Ordini!$J207+Ordini!$L207</f>
        <v>20.915599999999998</v>
      </c>
      <c r="P207" s="61">
        <f>Ordini!$I207-Ordini!$O207</f>
        <v>5.394400000000001</v>
      </c>
      <c r="Q207" s="58" t="str">
        <f>IF(Ordini!$P207&lt;0,"DA EVITARE","OK")</f>
        <v>OK</v>
      </c>
      <c r="R207" s="58"/>
    </row>
    <row r="208" spans="1:18" s="62" customFormat="1" x14ac:dyDescent="0.25">
      <c r="A208" s="48" t="s">
        <v>103</v>
      </c>
      <c r="B208" s="49" t="s">
        <v>109</v>
      </c>
      <c r="C208" s="49" t="s">
        <v>20</v>
      </c>
      <c r="D208" s="49" t="s">
        <v>303</v>
      </c>
      <c r="E208" s="49" t="s">
        <v>56</v>
      </c>
      <c r="F208" s="50">
        <v>1</v>
      </c>
      <c r="G208" s="52">
        <v>22</v>
      </c>
      <c r="H208" s="51">
        <v>0</v>
      </c>
      <c r="I208" s="52">
        <f>Ordini!$G208/(1+Ordini!$H208)</f>
        <v>22</v>
      </c>
      <c r="J208" s="52">
        <v>3.6</v>
      </c>
      <c r="K208" s="52">
        <v>6.62</v>
      </c>
      <c r="L208" s="52">
        <v>4.7699999999999996</v>
      </c>
      <c r="M208" s="50" t="s">
        <v>22</v>
      </c>
      <c r="N208" s="50"/>
      <c r="O208" s="53">
        <f>Ordini!$K208+Ordini!$J208+Ordini!$L208</f>
        <v>14.99</v>
      </c>
      <c r="P208" s="53">
        <f>Ordini!$I208-Ordini!$O208</f>
        <v>7.01</v>
      </c>
      <c r="Q208" s="50" t="str">
        <f>IF(Ordini!$P208&lt;0,"DA EVITARE","OK")</f>
        <v>OK</v>
      </c>
      <c r="R208" s="50"/>
    </row>
    <row r="209" spans="1:18" s="55" customFormat="1" x14ac:dyDescent="0.25">
      <c r="A209" s="56" t="s">
        <v>103</v>
      </c>
      <c r="B209" s="57" t="s">
        <v>109</v>
      </c>
      <c r="C209" s="57" t="s">
        <v>20</v>
      </c>
      <c r="D209" s="57" t="s">
        <v>304</v>
      </c>
      <c r="E209" s="57" t="s">
        <v>343</v>
      </c>
      <c r="F209" s="58">
        <v>1</v>
      </c>
      <c r="G209" s="60">
        <v>23.5</v>
      </c>
      <c r="H209" s="59">
        <v>0</v>
      </c>
      <c r="I209" s="60">
        <f>Ordini!$G209/(1+Ordini!$H209)</f>
        <v>23.5</v>
      </c>
      <c r="J209" s="60">
        <v>3.85</v>
      </c>
      <c r="K209" s="60">
        <v>10.504199999999999</v>
      </c>
      <c r="L209" s="60">
        <v>4.3600000000000003</v>
      </c>
      <c r="M209" s="58" t="s">
        <v>22</v>
      </c>
      <c r="N209" s="58"/>
      <c r="O209" s="61">
        <f>Ordini!$K209+Ordini!$J209+Ordini!$L209</f>
        <v>18.714199999999998</v>
      </c>
      <c r="P209" s="61">
        <f>Ordini!$I209-Ordini!$O209</f>
        <v>4.7858000000000018</v>
      </c>
      <c r="Q209" s="58" t="str">
        <f>IF(Ordini!$P209&lt;0,"DA EVITARE","OK")</f>
        <v>OK</v>
      </c>
      <c r="R209" s="58"/>
    </row>
    <row r="210" spans="1:18" s="62" customFormat="1" x14ac:dyDescent="0.25">
      <c r="A210" s="48" t="s">
        <v>103</v>
      </c>
      <c r="B210" s="49" t="s">
        <v>109</v>
      </c>
      <c r="C210" s="49" t="s">
        <v>20</v>
      </c>
      <c r="D210" s="49" t="s">
        <v>305</v>
      </c>
      <c r="E210" s="49" t="s">
        <v>71</v>
      </c>
      <c r="F210" s="50">
        <v>1</v>
      </c>
      <c r="G210" s="52">
        <v>68.900000000000006</v>
      </c>
      <c r="H210" s="51">
        <v>0</v>
      </c>
      <c r="I210" s="52">
        <f>Ordini!$G210/(1+Ordini!$H210)</f>
        <v>68.900000000000006</v>
      </c>
      <c r="J210" s="52">
        <v>11.27</v>
      </c>
      <c r="K210" s="52">
        <v>32.049999999999997</v>
      </c>
      <c r="L210" s="52">
        <v>5.87</v>
      </c>
      <c r="M210" s="50" t="s">
        <v>22</v>
      </c>
      <c r="N210" s="50"/>
      <c r="O210" s="53">
        <f>Ordini!$K210+Ordini!$J210+Ordini!$L210</f>
        <v>49.189999999999991</v>
      </c>
      <c r="P210" s="53">
        <f>Ordini!$I210-Ordini!$O210</f>
        <v>19.710000000000015</v>
      </c>
      <c r="Q210" s="50" t="str">
        <f>IF(Ordini!$P210&lt;0,"DA EVITARE","OK")</f>
        <v>OK</v>
      </c>
      <c r="R210" s="50"/>
    </row>
    <row r="211" spans="1:18" s="55" customFormat="1" x14ac:dyDescent="0.25">
      <c r="A211" s="56" t="s">
        <v>103</v>
      </c>
      <c r="B211" s="57" t="s">
        <v>109</v>
      </c>
      <c r="C211" s="57" t="s">
        <v>20</v>
      </c>
      <c r="D211" s="57" t="s">
        <v>306</v>
      </c>
      <c r="E211" s="57" t="s">
        <v>60</v>
      </c>
      <c r="F211" s="58">
        <v>1</v>
      </c>
      <c r="G211" s="60">
        <v>87.99</v>
      </c>
      <c r="H211" s="59">
        <v>0</v>
      </c>
      <c r="I211" s="60">
        <f>Ordini!$G211/(1+Ordini!$H211)</f>
        <v>87.99</v>
      </c>
      <c r="J211" s="60">
        <v>14.38</v>
      </c>
      <c r="K211" s="60">
        <v>39.76</v>
      </c>
      <c r="L211" s="60">
        <v>8.01</v>
      </c>
      <c r="M211" s="58" t="s">
        <v>22</v>
      </c>
      <c r="N211" s="58"/>
      <c r="O211" s="61">
        <f>Ordini!$K211+Ordini!$J211+Ordini!$L211</f>
        <v>62.15</v>
      </c>
      <c r="P211" s="61">
        <f>Ordini!$I211-Ordini!$O211</f>
        <v>25.839999999999996</v>
      </c>
      <c r="Q211" s="58" t="str">
        <f>IF(Ordini!$P211&lt;0,"DA EVITARE","OK")</f>
        <v>OK</v>
      </c>
      <c r="R211" s="58"/>
    </row>
    <row r="212" spans="1:18" s="62" customFormat="1" x14ac:dyDescent="0.25">
      <c r="A212" s="48" t="s">
        <v>103</v>
      </c>
      <c r="B212" s="49" t="s">
        <v>109</v>
      </c>
      <c r="C212" s="49" t="s">
        <v>20</v>
      </c>
      <c r="D212" s="49" t="s">
        <v>307</v>
      </c>
      <c r="E212" s="49" t="s">
        <v>60</v>
      </c>
      <c r="F212" s="50">
        <v>1</v>
      </c>
      <c r="G212" s="52">
        <v>87.99</v>
      </c>
      <c r="H212" s="51">
        <v>0</v>
      </c>
      <c r="I212" s="52">
        <f>Ordini!$G212/(1+Ordini!$H212)</f>
        <v>87.99</v>
      </c>
      <c r="J212" s="52">
        <v>14.38</v>
      </c>
      <c r="K212" s="52">
        <v>39.76</v>
      </c>
      <c r="L212" s="52">
        <v>8.01</v>
      </c>
      <c r="M212" s="50" t="s">
        <v>22</v>
      </c>
      <c r="N212" s="50"/>
      <c r="O212" s="53">
        <f>Ordini!$K212+Ordini!$J212+Ordini!$L212</f>
        <v>62.15</v>
      </c>
      <c r="P212" s="53">
        <f>Ordini!$I212-Ordini!$O212</f>
        <v>25.839999999999996</v>
      </c>
      <c r="Q212" s="50" t="str">
        <f>IF(Ordini!$P212&lt;0,"DA EVITARE","OK")</f>
        <v>OK</v>
      </c>
      <c r="R212" s="50"/>
    </row>
    <row r="213" spans="1:18" s="55" customFormat="1" x14ac:dyDescent="0.25">
      <c r="A213" s="56" t="s">
        <v>103</v>
      </c>
      <c r="B213" s="57" t="s">
        <v>109</v>
      </c>
      <c r="C213" s="57" t="s">
        <v>20</v>
      </c>
      <c r="D213" s="57" t="s">
        <v>308</v>
      </c>
      <c r="E213" s="57" t="s">
        <v>360</v>
      </c>
      <c r="F213" s="58">
        <v>1</v>
      </c>
      <c r="G213" s="60">
        <v>35</v>
      </c>
      <c r="H213" s="59">
        <v>0</v>
      </c>
      <c r="I213" s="60">
        <f>Ordini!$G213/(1+Ordini!$H213)</f>
        <v>35</v>
      </c>
      <c r="J213" s="60">
        <v>6.61</v>
      </c>
      <c r="K213" s="60">
        <v>20.703399999999998</v>
      </c>
      <c r="L213" s="60">
        <v>4.7699999999999996</v>
      </c>
      <c r="M213" s="58" t="s">
        <v>22</v>
      </c>
      <c r="N213" s="58"/>
      <c r="O213" s="61">
        <f>Ordini!$K213+Ordini!$J213+Ordini!$L213</f>
        <v>32.083399999999997</v>
      </c>
      <c r="P213" s="61">
        <f>Ordini!$I213-Ordini!$O213</f>
        <v>2.9166000000000025</v>
      </c>
      <c r="Q213" s="58" t="str">
        <f>IF(Ordini!$P213&lt;0,"DA EVITARE","OK")</f>
        <v>OK</v>
      </c>
      <c r="R213" s="58"/>
    </row>
    <row r="214" spans="1:18" s="62" customFormat="1" x14ac:dyDescent="0.25">
      <c r="A214" s="48" t="s">
        <v>103</v>
      </c>
      <c r="B214" s="49" t="s">
        <v>109</v>
      </c>
      <c r="C214" s="49" t="s">
        <v>20</v>
      </c>
      <c r="D214" s="49" t="s">
        <v>309</v>
      </c>
      <c r="E214" s="49" t="s">
        <v>60</v>
      </c>
      <c r="F214" s="50">
        <v>1</v>
      </c>
      <c r="G214" s="52">
        <v>87.99</v>
      </c>
      <c r="H214" s="51">
        <v>0</v>
      </c>
      <c r="I214" s="52">
        <f>Ordini!$G214/(1+Ordini!$H214)</f>
        <v>87.99</v>
      </c>
      <c r="J214" s="52">
        <v>14.38</v>
      </c>
      <c r="K214" s="52">
        <v>39.76</v>
      </c>
      <c r="L214" s="52">
        <v>8.01</v>
      </c>
      <c r="M214" s="50" t="s">
        <v>22</v>
      </c>
      <c r="N214" s="50"/>
      <c r="O214" s="53">
        <f>Ordini!$K214+Ordini!$J214+Ordini!$L214</f>
        <v>62.15</v>
      </c>
      <c r="P214" s="53">
        <f>Ordini!$I214-Ordini!$O214</f>
        <v>25.839999999999996</v>
      </c>
      <c r="Q214" s="50" t="str">
        <f>IF(Ordini!$P214&lt;0,"DA EVITARE","OK")</f>
        <v>OK</v>
      </c>
      <c r="R214" s="50"/>
    </row>
    <row r="215" spans="1:18" s="55" customFormat="1" x14ac:dyDescent="0.25">
      <c r="A215" s="56" t="s">
        <v>103</v>
      </c>
      <c r="B215" s="57" t="s">
        <v>110</v>
      </c>
      <c r="C215" s="57" t="s">
        <v>20</v>
      </c>
      <c r="D215" s="57" t="s">
        <v>310</v>
      </c>
      <c r="E215" s="57" t="s">
        <v>73</v>
      </c>
      <c r="F215" s="58">
        <v>1</v>
      </c>
      <c r="G215" s="60">
        <v>33.979999999999997</v>
      </c>
      <c r="H215" s="59">
        <v>0</v>
      </c>
      <c r="I215" s="60">
        <f>Ordini!$G215/(1+Ordini!$H215)</f>
        <v>33.979999999999997</v>
      </c>
      <c r="J215" s="60">
        <v>0</v>
      </c>
      <c r="K215" s="60">
        <v>14.47</v>
      </c>
      <c r="L215" s="60">
        <v>7.1</v>
      </c>
      <c r="M215" s="58" t="s">
        <v>22</v>
      </c>
      <c r="N215" s="58"/>
      <c r="O215" s="61">
        <f>Ordini!$K215+Ordini!$J215+Ordini!$L215</f>
        <v>21.57</v>
      </c>
      <c r="P215" s="61">
        <f>Ordini!$I215-Ordini!$O215</f>
        <v>12.409999999999997</v>
      </c>
      <c r="Q215" s="58" t="str">
        <f>IF(Ordini!$P215&lt;0,"DA EVITARE","OK")</f>
        <v>OK</v>
      </c>
      <c r="R215" s="58"/>
    </row>
    <row r="216" spans="1:18" s="62" customFormat="1" x14ac:dyDescent="0.25">
      <c r="A216" s="48" t="s">
        <v>103</v>
      </c>
      <c r="B216" s="49" t="s">
        <v>110</v>
      </c>
      <c r="C216" s="49" t="s">
        <v>20</v>
      </c>
      <c r="D216" s="49" t="s">
        <v>311</v>
      </c>
      <c r="E216" s="49" t="s">
        <v>56</v>
      </c>
      <c r="F216" s="50">
        <v>1</v>
      </c>
      <c r="G216" s="52">
        <v>18.71</v>
      </c>
      <c r="H216" s="51">
        <v>0</v>
      </c>
      <c r="I216" s="52">
        <f>Ordini!$G216/(1+Ordini!$H216)</f>
        <v>18.71</v>
      </c>
      <c r="J216" s="52">
        <v>0</v>
      </c>
      <c r="K216" s="52">
        <v>6.62</v>
      </c>
      <c r="L216" s="52">
        <v>4.7699999999999996</v>
      </c>
      <c r="M216" s="50" t="s">
        <v>22</v>
      </c>
      <c r="N216" s="50"/>
      <c r="O216" s="53">
        <f>Ordini!$K216+Ordini!$J216+Ordini!$L216</f>
        <v>11.39</v>
      </c>
      <c r="P216" s="53">
        <f>Ordini!$I216-Ordini!$O216</f>
        <v>7.32</v>
      </c>
      <c r="Q216" s="50" t="str">
        <f>IF(Ordini!$P216&lt;0,"DA EVITARE","OK")</f>
        <v>OK</v>
      </c>
      <c r="R216" s="50"/>
    </row>
    <row r="217" spans="1:18" s="55" customFormat="1" x14ac:dyDescent="0.25">
      <c r="A217" s="56" t="s">
        <v>103</v>
      </c>
      <c r="B217" s="57" t="s">
        <v>110</v>
      </c>
      <c r="C217" s="57" t="s">
        <v>20</v>
      </c>
      <c r="D217" s="57" t="s">
        <v>312</v>
      </c>
      <c r="E217" s="57" t="s">
        <v>60</v>
      </c>
      <c r="F217" s="58">
        <v>1</v>
      </c>
      <c r="G217" s="60">
        <v>76.27</v>
      </c>
      <c r="H217" s="59">
        <v>0</v>
      </c>
      <c r="I217" s="60">
        <f>Ordini!$G217/(1+Ordini!$H217)</f>
        <v>76.27</v>
      </c>
      <c r="J217" s="60">
        <v>0</v>
      </c>
      <c r="K217" s="60">
        <v>39.76</v>
      </c>
      <c r="L217" s="60">
        <v>16.02</v>
      </c>
      <c r="M217" s="58" t="s">
        <v>23</v>
      </c>
      <c r="N217" s="58"/>
      <c r="O217" s="61">
        <f>Ordini!$K217+Ordini!$J217+Ordini!$L217</f>
        <v>55.78</v>
      </c>
      <c r="P217" s="61">
        <f>Ordini!$I217-Ordini!$O217</f>
        <v>20.489999999999995</v>
      </c>
      <c r="Q217" s="58" t="str">
        <f>IF(Ordini!$P217&lt;0,"DA EVITARE","OK")</f>
        <v>OK</v>
      </c>
      <c r="R217" s="58" t="s">
        <v>409</v>
      </c>
    </row>
    <row r="218" spans="1:18" s="62" customFormat="1" x14ac:dyDescent="0.25">
      <c r="A218" s="48" t="s">
        <v>103</v>
      </c>
      <c r="B218" s="49" t="s">
        <v>110</v>
      </c>
      <c r="C218" s="49" t="s">
        <v>20</v>
      </c>
      <c r="D218" s="49" t="s">
        <v>313</v>
      </c>
      <c r="E218" s="49" t="s">
        <v>345</v>
      </c>
      <c r="F218" s="50">
        <v>1</v>
      </c>
      <c r="G218" s="52">
        <v>11.1</v>
      </c>
      <c r="H218" s="51">
        <v>0</v>
      </c>
      <c r="I218" s="52">
        <f>Ordini!$G218/(1+Ordini!$H218)</f>
        <v>11.1</v>
      </c>
      <c r="J218" s="52">
        <v>0</v>
      </c>
      <c r="K218" s="52">
        <v>2.14</v>
      </c>
      <c r="L218" s="52">
        <v>4.3600000000000003</v>
      </c>
      <c r="M218" s="50" t="s">
        <v>22</v>
      </c>
      <c r="N218" s="50"/>
      <c r="O218" s="53">
        <f>Ordini!$K218+Ordini!$J218+Ordini!$L218</f>
        <v>6.5</v>
      </c>
      <c r="P218" s="53">
        <f>Ordini!$I218-Ordini!$O218</f>
        <v>4.5999999999999996</v>
      </c>
      <c r="Q218" s="50" t="str">
        <f>IF(Ordini!$P218&lt;0,"DA EVITARE","OK")</f>
        <v>OK</v>
      </c>
      <c r="R218" s="50"/>
    </row>
    <row r="219" spans="1:18" s="55" customFormat="1" x14ac:dyDescent="0.25">
      <c r="A219" s="56" t="s">
        <v>103</v>
      </c>
      <c r="B219" s="57" t="s">
        <v>110</v>
      </c>
      <c r="C219" s="57" t="s">
        <v>20</v>
      </c>
      <c r="D219" s="57" t="s">
        <v>314</v>
      </c>
      <c r="E219" s="57" t="s">
        <v>56</v>
      </c>
      <c r="F219" s="58">
        <v>1</v>
      </c>
      <c r="G219" s="60">
        <v>18.71</v>
      </c>
      <c r="H219" s="59">
        <v>0</v>
      </c>
      <c r="I219" s="60">
        <f>Ordini!$G219/(1+Ordini!$H219)</f>
        <v>18.71</v>
      </c>
      <c r="J219" s="60">
        <v>0</v>
      </c>
      <c r="K219" s="60">
        <v>6.62</v>
      </c>
      <c r="L219" s="60">
        <v>4.7699999999999996</v>
      </c>
      <c r="M219" s="58" t="s">
        <v>22</v>
      </c>
      <c r="N219" s="58"/>
      <c r="O219" s="61">
        <f>Ordini!$K219+Ordini!$J219+Ordini!$L219</f>
        <v>11.39</v>
      </c>
      <c r="P219" s="61">
        <f>Ordini!$I219-Ordini!$O219</f>
        <v>7.32</v>
      </c>
      <c r="Q219" s="58" t="str">
        <f>IF(Ordini!$P219&lt;0,"DA EVITARE","OK")</f>
        <v>OK</v>
      </c>
      <c r="R219" s="58"/>
    </row>
    <row r="220" spans="1:18" s="62" customFormat="1" x14ac:dyDescent="0.25">
      <c r="A220" s="48" t="s">
        <v>103</v>
      </c>
      <c r="B220" s="49" t="s">
        <v>110</v>
      </c>
      <c r="C220" s="49" t="s">
        <v>20</v>
      </c>
      <c r="D220" s="49" t="s">
        <v>315</v>
      </c>
      <c r="E220" s="49" t="s">
        <v>56</v>
      </c>
      <c r="F220" s="50">
        <v>1</v>
      </c>
      <c r="G220" s="52">
        <v>19.02</v>
      </c>
      <c r="H220" s="51">
        <v>0</v>
      </c>
      <c r="I220" s="52">
        <f>Ordini!$G220/(1+Ordini!$H220)</f>
        <v>19.02</v>
      </c>
      <c r="J220" s="52">
        <v>0</v>
      </c>
      <c r="K220" s="52">
        <v>6.62</v>
      </c>
      <c r="L220" s="52">
        <v>4.7699999999999996</v>
      </c>
      <c r="M220" s="50" t="s">
        <v>22</v>
      </c>
      <c r="N220" s="50"/>
      <c r="O220" s="53">
        <f>Ordini!$K220+Ordini!$J220+Ordini!$L220</f>
        <v>11.39</v>
      </c>
      <c r="P220" s="53">
        <f>Ordini!$I220-Ordini!$O220</f>
        <v>7.629999999999999</v>
      </c>
      <c r="Q220" s="50" t="str">
        <f>IF(Ordini!$P220&lt;0,"DA EVITARE","OK")</f>
        <v>OK</v>
      </c>
      <c r="R220" s="50"/>
    </row>
    <row r="221" spans="1:18" s="55" customFormat="1" x14ac:dyDescent="0.25">
      <c r="A221" s="56" t="s">
        <v>104</v>
      </c>
      <c r="B221" s="57" t="s">
        <v>109</v>
      </c>
      <c r="C221" s="57" t="s">
        <v>20</v>
      </c>
      <c r="D221" s="57" t="s">
        <v>316</v>
      </c>
      <c r="E221" s="57" t="s">
        <v>343</v>
      </c>
      <c r="F221" s="58">
        <v>1</v>
      </c>
      <c r="G221" s="60">
        <v>23.5</v>
      </c>
      <c r="H221" s="59">
        <v>0</v>
      </c>
      <c r="I221" s="60">
        <f>Ordini!$G221/(1+Ordini!$H221)</f>
        <v>23.5</v>
      </c>
      <c r="J221" s="60">
        <v>3.85</v>
      </c>
      <c r="K221" s="60">
        <v>10.504199999999999</v>
      </c>
      <c r="L221" s="60">
        <v>4.3600000000000003</v>
      </c>
      <c r="M221" s="58" t="s">
        <v>22</v>
      </c>
      <c r="N221" s="58"/>
      <c r="O221" s="61">
        <f>Ordini!$K221+Ordini!$J221+Ordini!$L221</f>
        <v>18.714199999999998</v>
      </c>
      <c r="P221" s="61">
        <f>Ordini!$I221-Ordini!$O221</f>
        <v>4.7858000000000018</v>
      </c>
      <c r="Q221" s="58" t="str">
        <f>IF(Ordini!$P221&lt;0,"DA EVITARE","OK")</f>
        <v>OK</v>
      </c>
      <c r="R221" s="58"/>
    </row>
    <row r="222" spans="1:18" s="62" customFormat="1" x14ac:dyDescent="0.25">
      <c r="A222" s="48" t="s">
        <v>104</v>
      </c>
      <c r="B222" s="49" t="s">
        <v>109</v>
      </c>
      <c r="C222" s="49" t="s">
        <v>20</v>
      </c>
      <c r="D222" s="49" t="s">
        <v>317</v>
      </c>
      <c r="E222" s="49" t="s">
        <v>344</v>
      </c>
      <c r="F222" s="50">
        <v>1</v>
      </c>
      <c r="G222" s="52">
        <v>44.34</v>
      </c>
      <c r="H222" s="51">
        <v>0</v>
      </c>
      <c r="I222" s="52">
        <f>Ordini!$G222/(1+Ordini!$H222)</f>
        <v>44.34</v>
      </c>
      <c r="J222" s="52">
        <v>8.3699999999999992</v>
      </c>
      <c r="K222" s="52">
        <v>28.852999999999998</v>
      </c>
      <c r="L222" s="52">
        <v>4.8499999999999996</v>
      </c>
      <c r="M222" s="50" t="s">
        <v>22</v>
      </c>
      <c r="N222" s="50"/>
      <c r="O222" s="53">
        <f>Ordini!$K222+Ordini!$J222+Ordini!$L222</f>
        <v>42.073</v>
      </c>
      <c r="P222" s="53">
        <f>Ordini!$I222-Ordini!$O222</f>
        <v>2.267000000000003</v>
      </c>
      <c r="Q222" s="50" t="str">
        <f>IF(Ordini!$P222&lt;0,"DA EVITARE","OK")</f>
        <v>OK</v>
      </c>
      <c r="R222" s="50"/>
    </row>
    <row r="223" spans="1:18" s="55" customFormat="1" x14ac:dyDescent="0.25">
      <c r="A223" s="56" t="s">
        <v>104</v>
      </c>
      <c r="B223" s="57" t="s">
        <v>109</v>
      </c>
      <c r="C223" s="57" t="s">
        <v>20</v>
      </c>
      <c r="D223" s="57" t="s">
        <v>318</v>
      </c>
      <c r="E223" s="57" t="s">
        <v>71</v>
      </c>
      <c r="F223" s="58">
        <v>1</v>
      </c>
      <c r="G223" s="60">
        <v>68.900000000000006</v>
      </c>
      <c r="H223" s="59">
        <v>0</v>
      </c>
      <c r="I223" s="60">
        <f>Ordini!$G223/(1+Ordini!$H223)</f>
        <v>68.900000000000006</v>
      </c>
      <c r="J223" s="60">
        <v>11.27</v>
      </c>
      <c r="K223" s="60">
        <v>32.049999999999997</v>
      </c>
      <c r="L223" s="60">
        <v>5.87</v>
      </c>
      <c r="M223" s="58" t="s">
        <v>22</v>
      </c>
      <c r="N223" s="58"/>
      <c r="O223" s="61">
        <f>Ordini!$K223+Ordini!$J223+Ordini!$L223</f>
        <v>49.189999999999991</v>
      </c>
      <c r="P223" s="61">
        <f>Ordini!$I223-Ordini!$O223</f>
        <v>19.710000000000015</v>
      </c>
      <c r="Q223" s="58" t="str">
        <f>IF(Ordini!$P223&lt;0,"DA EVITARE","OK")</f>
        <v>OK</v>
      </c>
      <c r="R223" s="58"/>
    </row>
    <row r="224" spans="1:18" s="62" customFormat="1" x14ac:dyDescent="0.25">
      <c r="A224" s="48" t="s">
        <v>104</v>
      </c>
      <c r="B224" s="49" t="s">
        <v>109</v>
      </c>
      <c r="C224" s="49" t="s">
        <v>20</v>
      </c>
      <c r="D224" s="49" t="s">
        <v>319</v>
      </c>
      <c r="E224" s="49" t="s">
        <v>60</v>
      </c>
      <c r="F224" s="50">
        <v>1</v>
      </c>
      <c r="G224" s="52">
        <v>87.99</v>
      </c>
      <c r="H224" s="51">
        <v>0</v>
      </c>
      <c r="I224" s="52">
        <f>Ordini!$G224/(1+Ordini!$H224)</f>
        <v>87.99</v>
      </c>
      <c r="J224" s="52">
        <v>14.38</v>
      </c>
      <c r="K224" s="52">
        <v>39.76</v>
      </c>
      <c r="L224" s="52">
        <v>8.01</v>
      </c>
      <c r="M224" s="50" t="s">
        <v>22</v>
      </c>
      <c r="N224" s="50"/>
      <c r="O224" s="53">
        <f>Ordini!$K224+Ordini!$J224+Ordini!$L224</f>
        <v>62.15</v>
      </c>
      <c r="P224" s="53">
        <f>Ordini!$I224-Ordini!$O224</f>
        <v>25.839999999999996</v>
      </c>
      <c r="Q224" s="50" t="str">
        <f>IF(Ordini!$P224&lt;0,"DA EVITARE","OK")</f>
        <v>OK</v>
      </c>
      <c r="R224" s="50"/>
    </row>
    <row r="225" spans="1:18" s="55" customFormat="1" x14ac:dyDescent="0.25">
      <c r="A225" s="56" t="s">
        <v>104</v>
      </c>
      <c r="B225" s="57" t="s">
        <v>110</v>
      </c>
      <c r="C225" s="57" t="s">
        <v>20</v>
      </c>
      <c r="D225" s="57" t="s">
        <v>320</v>
      </c>
      <c r="E225" s="57" t="s">
        <v>56</v>
      </c>
      <c r="F225" s="58">
        <v>1</v>
      </c>
      <c r="G225" s="60">
        <v>19.02</v>
      </c>
      <c r="H225" s="59">
        <v>0</v>
      </c>
      <c r="I225" s="60">
        <f>Ordini!$G225/(1+Ordini!$H225)</f>
        <v>19.02</v>
      </c>
      <c r="J225" s="60">
        <v>0</v>
      </c>
      <c r="K225" s="60">
        <v>6.62</v>
      </c>
      <c r="L225" s="60">
        <v>4.7699999999999996</v>
      </c>
      <c r="M225" s="58" t="s">
        <v>22</v>
      </c>
      <c r="N225" s="58"/>
      <c r="O225" s="61">
        <f>Ordini!$K225+Ordini!$J225+Ordini!$L225</f>
        <v>11.39</v>
      </c>
      <c r="P225" s="61">
        <f>Ordini!$I225-Ordini!$O225</f>
        <v>7.629999999999999</v>
      </c>
      <c r="Q225" s="58" t="str">
        <f>IF(Ordini!$P225&lt;0,"DA EVITARE","OK")</f>
        <v>OK</v>
      </c>
      <c r="R225" s="58"/>
    </row>
    <row r="226" spans="1:18" s="62" customFormat="1" x14ac:dyDescent="0.25">
      <c r="A226" s="48" t="s">
        <v>104</v>
      </c>
      <c r="B226" s="49" t="s">
        <v>110</v>
      </c>
      <c r="C226" s="49" t="s">
        <v>20</v>
      </c>
      <c r="D226" s="49" t="s">
        <v>321</v>
      </c>
      <c r="E226" s="49" t="s">
        <v>79</v>
      </c>
      <c r="F226" s="50">
        <v>1</v>
      </c>
      <c r="G226" s="52">
        <v>49.95</v>
      </c>
      <c r="H226" s="51">
        <v>0</v>
      </c>
      <c r="I226" s="52">
        <f>Ordini!$G226/(1+Ordini!$H226)</f>
        <v>49.95</v>
      </c>
      <c r="J226" s="52">
        <v>0</v>
      </c>
      <c r="K226" s="52">
        <v>24.03</v>
      </c>
      <c r="L226" s="52">
        <v>8.4</v>
      </c>
      <c r="M226" s="50" t="s">
        <v>22</v>
      </c>
      <c r="N226" s="50"/>
      <c r="O226" s="53">
        <f>Ordini!$K226+Ordini!$J226+Ordini!$L226</f>
        <v>32.43</v>
      </c>
      <c r="P226" s="53">
        <f>Ordini!$I226-Ordini!$O226</f>
        <v>17.520000000000003</v>
      </c>
      <c r="Q226" s="50" t="str">
        <f>IF(Ordini!$P226&lt;0,"DA EVITARE","OK")</f>
        <v>OK</v>
      </c>
      <c r="R226" s="50"/>
    </row>
    <row r="227" spans="1:18" s="55" customFormat="1" x14ac:dyDescent="0.25">
      <c r="A227" s="56" t="s">
        <v>104</v>
      </c>
      <c r="B227" s="57" t="s">
        <v>110</v>
      </c>
      <c r="C227" s="57" t="s">
        <v>20</v>
      </c>
      <c r="D227" s="57" t="s">
        <v>322</v>
      </c>
      <c r="E227" s="57" t="s">
        <v>394</v>
      </c>
      <c r="F227" s="58">
        <v>1</v>
      </c>
      <c r="G227" s="60">
        <v>17.27</v>
      </c>
      <c r="H227" s="59">
        <v>0</v>
      </c>
      <c r="I227" s="60">
        <f>Ordini!$G227/(1+Ordini!$H227)</f>
        <v>17.27</v>
      </c>
      <c r="J227" s="60">
        <v>0</v>
      </c>
      <c r="K227" s="60">
        <v>10.918999999999999</v>
      </c>
      <c r="L227" s="60">
        <v>4.3600000000000003</v>
      </c>
      <c r="M227" s="58" t="s">
        <v>22</v>
      </c>
      <c r="N227" s="58"/>
      <c r="O227" s="61">
        <f>Ordini!$K227+Ordini!$J227+Ordini!$L227</f>
        <v>15.279</v>
      </c>
      <c r="P227" s="61">
        <f>Ordini!$I227-Ordini!$O227</f>
        <v>1.9909999999999997</v>
      </c>
      <c r="Q227" s="58" t="str">
        <f>IF(Ordini!$P227&lt;0,"DA EVITARE","OK")</f>
        <v>OK</v>
      </c>
      <c r="R227" s="58"/>
    </row>
    <row r="228" spans="1:18" s="62" customFormat="1" x14ac:dyDescent="0.25">
      <c r="A228" s="48" t="s">
        <v>104</v>
      </c>
      <c r="B228" s="49" t="s">
        <v>110</v>
      </c>
      <c r="C228" s="49" t="s">
        <v>20</v>
      </c>
      <c r="D228" s="49" t="s">
        <v>323</v>
      </c>
      <c r="E228" s="49" t="s">
        <v>56</v>
      </c>
      <c r="F228" s="50">
        <v>1</v>
      </c>
      <c r="G228" s="52">
        <v>19.02</v>
      </c>
      <c r="H228" s="51">
        <v>0</v>
      </c>
      <c r="I228" s="52">
        <f>Ordini!$G228/(1+Ordini!$H228)</f>
        <v>19.02</v>
      </c>
      <c r="J228" s="52">
        <v>0</v>
      </c>
      <c r="K228" s="52">
        <v>6.62</v>
      </c>
      <c r="L228" s="52">
        <v>4.7699999999999996</v>
      </c>
      <c r="M228" s="50" t="s">
        <v>22</v>
      </c>
      <c r="N228" s="50"/>
      <c r="O228" s="53">
        <f>Ordini!$K228+Ordini!$J228+Ordini!$L228</f>
        <v>11.39</v>
      </c>
      <c r="P228" s="53">
        <f>Ordini!$I228-Ordini!$O228</f>
        <v>7.629999999999999</v>
      </c>
      <c r="Q228" s="50" t="str">
        <f>IF(Ordini!$P228&lt;0,"DA EVITARE","OK")</f>
        <v>OK</v>
      </c>
      <c r="R228" s="50"/>
    </row>
    <row r="229" spans="1:18" s="55" customFormat="1" x14ac:dyDescent="0.25">
      <c r="A229" s="56" t="s">
        <v>104</v>
      </c>
      <c r="B229" s="57" t="s">
        <v>110</v>
      </c>
      <c r="C229" s="57" t="s">
        <v>20</v>
      </c>
      <c r="D229" s="57" t="s">
        <v>324</v>
      </c>
      <c r="E229" s="57" t="s">
        <v>345</v>
      </c>
      <c r="F229" s="58">
        <v>1</v>
      </c>
      <c r="G229" s="60">
        <v>10.94</v>
      </c>
      <c r="H229" s="59">
        <v>0</v>
      </c>
      <c r="I229" s="60">
        <f>Ordini!$G229/(1+Ordini!$H229)</f>
        <v>10.94</v>
      </c>
      <c r="J229" s="60">
        <v>0</v>
      </c>
      <c r="K229" s="60">
        <v>2.14</v>
      </c>
      <c r="L229" s="60">
        <v>4.3600000000000003</v>
      </c>
      <c r="M229" s="58" t="s">
        <v>22</v>
      </c>
      <c r="N229" s="58"/>
      <c r="O229" s="61">
        <f>Ordini!$K229+Ordini!$J229+Ordini!$L229</f>
        <v>6.5</v>
      </c>
      <c r="P229" s="61">
        <f>Ordini!$I229-Ordini!$O229</f>
        <v>4.4399999999999995</v>
      </c>
      <c r="Q229" s="58" t="str">
        <f>IF(Ordini!$P229&lt;0,"DA EVITARE","OK")</f>
        <v>OK</v>
      </c>
      <c r="R229" s="58"/>
    </row>
    <row r="230" spans="1:18" s="62" customFormat="1" x14ac:dyDescent="0.25">
      <c r="A230" s="48" t="s">
        <v>104</v>
      </c>
      <c r="B230" s="49" t="s">
        <v>110</v>
      </c>
      <c r="C230" s="49" t="s">
        <v>20</v>
      </c>
      <c r="D230" s="49" t="s">
        <v>325</v>
      </c>
      <c r="E230" s="49" t="s">
        <v>72</v>
      </c>
      <c r="F230" s="50">
        <v>1</v>
      </c>
      <c r="G230" s="52">
        <v>20.350000000000001</v>
      </c>
      <c r="H230" s="51">
        <v>0</v>
      </c>
      <c r="I230" s="52">
        <f>Ordini!$G230/(1+Ordini!$H230)</f>
        <v>20.350000000000001</v>
      </c>
      <c r="J230" s="52">
        <v>0</v>
      </c>
      <c r="K230" s="52">
        <v>6.18</v>
      </c>
      <c r="L230" s="52">
        <v>4.7699999999999996</v>
      </c>
      <c r="M230" s="50" t="s">
        <v>22</v>
      </c>
      <c r="N230" s="50"/>
      <c r="O230" s="53">
        <f>Ordini!$K230+Ordini!$J230+Ordini!$L230</f>
        <v>10.95</v>
      </c>
      <c r="P230" s="53">
        <f>Ordini!$I230-Ordini!$O230</f>
        <v>9.4000000000000021</v>
      </c>
      <c r="Q230" s="50" t="str">
        <f>IF(Ordini!$P230&lt;0,"DA EVITARE","OK")</f>
        <v>OK</v>
      </c>
      <c r="R230" s="50"/>
    </row>
    <row r="231" spans="1:18" s="55" customFormat="1" x14ac:dyDescent="0.25">
      <c r="A231" s="56" t="s">
        <v>105</v>
      </c>
      <c r="B231" s="57" t="s">
        <v>109</v>
      </c>
      <c r="C231" s="57" t="s">
        <v>20</v>
      </c>
      <c r="D231" s="57" t="s">
        <v>326</v>
      </c>
      <c r="E231" s="57" t="s">
        <v>361</v>
      </c>
      <c r="F231" s="58">
        <v>1</v>
      </c>
      <c r="G231" s="60">
        <v>71.5</v>
      </c>
      <c r="H231" s="59">
        <v>0</v>
      </c>
      <c r="I231" s="60">
        <f>Ordini!$G231/(1+Ordini!$H231)</f>
        <v>71.5</v>
      </c>
      <c r="J231" s="60">
        <v>13.48</v>
      </c>
      <c r="K231" s="60">
        <v>40.381999999999998</v>
      </c>
      <c r="L231" s="60">
        <v>4.3600000000000003</v>
      </c>
      <c r="M231" s="58" t="s">
        <v>22</v>
      </c>
      <c r="N231" s="58"/>
      <c r="O231" s="61">
        <f>Ordini!$K231+Ordini!$J231+Ordini!$L231</f>
        <v>58.221999999999994</v>
      </c>
      <c r="P231" s="61">
        <f>Ordini!$I231-Ordini!$O231</f>
        <v>13.278000000000006</v>
      </c>
      <c r="Q231" s="58" t="str">
        <f>IF(Ordini!$P231&lt;0,"DA EVITARE","OK")</f>
        <v>OK</v>
      </c>
      <c r="R231" s="58"/>
    </row>
    <row r="232" spans="1:18" s="62" customFormat="1" x14ac:dyDescent="0.25">
      <c r="A232" s="48" t="s">
        <v>105</v>
      </c>
      <c r="B232" s="49" t="s">
        <v>109</v>
      </c>
      <c r="C232" s="49" t="s">
        <v>20</v>
      </c>
      <c r="D232" s="49" t="s">
        <v>327</v>
      </c>
      <c r="E232" s="49" t="s">
        <v>362</v>
      </c>
      <c r="F232" s="50">
        <v>1</v>
      </c>
      <c r="G232" s="52">
        <v>10.35</v>
      </c>
      <c r="H232" s="51">
        <v>0</v>
      </c>
      <c r="I232" s="52">
        <f>Ordini!$G232/(1+Ordini!$H232)</f>
        <v>10.35</v>
      </c>
      <c r="J232" s="52">
        <v>1.97</v>
      </c>
      <c r="K232" s="52">
        <v>0.54900000000000004</v>
      </c>
      <c r="L232" s="52">
        <v>4.3600000000000003</v>
      </c>
      <c r="M232" s="50" t="s">
        <v>22</v>
      </c>
      <c r="N232" s="50"/>
      <c r="O232" s="53">
        <f>Ordini!$K232+Ordini!$J232+Ordini!$L232</f>
        <v>6.8790000000000004</v>
      </c>
      <c r="P232" s="53">
        <f>Ordini!$I232-Ordini!$O232</f>
        <v>3.4709999999999992</v>
      </c>
      <c r="Q232" s="50" t="str">
        <f>IF(Ordini!$P232&lt;0,"DA EVITARE","OK")</f>
        <v>OK</v>
      </c>
      <c r="R232" s="50"/>
    </row>
    <row r="233" spans="1:18" s="55" customFormat="1" x14ac:dyDescent="0.25">
      <c r="A233" s="56" t="s">
        <v>105</v>
      </c>
      <c r="B233" s="57" t="s">
        <v>110</v>
      </c>
      <c r="C233" s="57" t="s">
        <v>20</v>
      </c>
      <c r="D233" s="57" t="s">
        <v>328</v>
      </c>
      <c r="E233" s="57" t="s">
        <v>56</v>
      </c>
      <c r="F233" s="58">
        <v>1</v>
      </c>
      <c r="G233" s="60">
        <v>19.02</v>
      </c>
      <c r="H233" s="59">
        <v>0</v>
      </c>
      <c r="I233" s="60">
        <f>Ordini!$G233/(1+Ordini!$H233)</f>
        <v>19.02</v>
      </c>
      <c r="J233" s="60">
        <v>0</v>
      </c>
      <c r="K233" s="60">
        <v>6.62</v>
      </c>
      <c r="L233" s="60">
        <v>4.7699999999999996</v>
      </c>
      <c r="M233" s="58" t="s">
        <v>22</v>
      </c>
      <c r="N233" s="58"/>
      <c r="O233" s="61">
        <f>Ordini!$K233+Ordini!$J233+Ordini!$L233</f>
        <v>11.39</v>
      </c>
      <c r="P233" s="61">
        <f>Ordini!$I233-Ordini!$O233</f>
        <v>7.629999999999999</v>
      </c>
      <c r="Q233" s="58" t="str">
        <f>IF(Ordini!$P233&lt;0,"DA EVITARE","OK")</f>
        <v>OK</v>
      </c>
      <c r="R233" s="58"/>
    </row>
    <row r="234" spans="1:18" s="62" customFormat="1" x14ac:dyDescent="0.25">
      <c r="A234" s="48" t="s">
        <v>105</v>
      </c>
      <c r="B234" s="49" t="s">
        <v>110</v>
      </c>
      <c r="C234" s="49" t="s">
        <v>20</v>
      </c>
      <c r="D234" s="49" t="s">
        <v>329</v>
      </c>
      <c r="E234" s="49" t="s">
        <v>73</v>
      </c>
      <c r="F234" s="50">
        <v>1</v>
      </c>
      <c r="G234" s="52">
        <v>34.659999999999997</v>
      </c>
      <c r="H234" s="51">
        <v>0</v>
      </c>
      <c r="I234" s="52">
        <f>Ordini!$G234/(1+Ordini!$H234)</f>
        <v>34.659999999999997</v>
      </c>
      <c r="J234" s="52">
        <v>0</v>
      </c>
      <c r="K234" s="52">
        <v>14.47</v>
      </c>
      <c r="L234" s="52">
        <v>7.1</v>
      </c>
      <c r="M234" s="50" t="s">
        <v>22</v>
      </c>
      <c r="N234" s="50"/>
      <c r="O234" s="53">
        <f>Ordini!$K234+Ordini!$J234+Ordini!$L234</f>
        <v>21.57</v>
      </c>
      <c r="P234" s="53">
        <f>Ordini!$I234-Ordini!$O234</f>
        <v>13.089999999999996</v>
      </c>
      <c r="Q234" s="50" t="str">
        <f>IF(Ordini!$P234&lt;0,"DA EVITARE","OK")</f>
        <v>OK</v>
      </c>
      <c r="R234" s="50"/>
    </row>
    <row r="235" spans="1:18" s="55" customFormat="1" x14ac:dyDescent="0.25">
      <c r="A235" s="56" t="s">
        <v>106</v>
      </c>
      <c r="B235" s="57" t="s">
        <v>110</v>
      </c>
      <c r="C235" s="57" t="s">
        <v>20</v>
      </c>
      <c r="D235" s="57" t="s">
        <v>330</v>
      </c>
      <c r="E235" s="57" t="s">
        <v>340</v>
      </c>
      <c r="F235" s="58">
        <v>1</v>
      </c>
      <c r="G235" s="60">
        <v>54.19</v>
      </c>
      <c r="H235" s="59">
        <v>0</v>
      </c>
      <c r="I235" s="60">
        <f>Ordini!$G235/(1+Ordini!$H235)</f>
        <v>54.19</v>
      </c>
      <c r="J235" s="60">
        <v>0</v>
      </c>
      <c r="K235" s="60">
        <v>42.541399999999996</v>
      </c>
      <c r="L235" s="60">
        <v>12.5</v>
      </c>
      <c r="M235" s="58" t="s">
        <v>22</v>
      </c>
      <c r="N235" s="58"/>
      <c r="O235" s="61">
        <f>Ordini!$K235+Ordini!$J235+Ordini!$L235</f>
        <v>55.041399999999996</v>
      </c>
      <c r="P235" s="61">
        <f>Ordini!$I235-Ordini!$O235</f>
        <v>-0.85139999999999816</v>
      </c>
      <c r="Q235" s="58" t="str">
        <f>IF(Ordini!$P235&lt;0,"DA EVITARE","OK")</f>
        <v>DA EVITARE</v>
      </c>
      <c r="R235" s="58"/>
    </row>
    <row r="236" spans="1:18" s="62" customFormat="1" x14ac:dyDescent="0.25">
      <c r="A236" s="48" t="s">
        <v>106</v>
      </c>
      <c r="B236" s="49" t="s">
        <v>110</v>
      </c>
      <c r="C236" s="49" t="s">
        <v>20</v>
      </c>
      <c r="D236" s="49" t="s">
        <v>331</v>
      </c>
      <c r="E236" s="49" t="s">
        <v>396</v>
      </c>
      <c r="F236" s="50">
        <v>3</v>
      </c>
      <c r="G236" s="52">
        <v>42.84</v>
      </c>
      <c r="H236" s="51">
        <v>0</v>
      </c>
      <c r="I236" s="52">
        <f>Ordini!$G236/(1+Ordini!$H236)</f>
        <v>42.84</v>
      </c>
      <c r="J236" s="52">
        <v>0</v>
      </c>
      <c r="K236" s="52">
        <v>32.756999999999998</v>
      </c>
      <c r="L236" s="52">
        <v>4.3600000000000003</v>
      </c>
      <c r="M236" s="50" t="s">
        <v>22</v>
      </c>
      <c r="N236" s="50"/>
      <c r="O236" s="53">
        <f>Ordini!$K236+Ordini!$J236+Ordini!$L236</f>
        <v>37.116999999999997</v>
      </c>
      <c r="P236" s="53">
        <f>Ordini!$I236-Ordini!$O236</f>
        <v>5.7230000000000061</v>
      </c>
      <c r="Q236" s="50" t="str">
        <f>IF(Ordini!$P236&lt;0,"DA EVITARE","OK")</f>
        <v>OK</v>
      </c>
      <c r="R236" s="50"/>
    </row>
    <row r="237" spans="1:18" s="55" customFormat="1" x14ac:dyDescent="0.25">
      <c r="A237" s="56" t="s">
        <v>106</v>
      </c>
      <c r="B237" s="57" t="s">
        <v>110</v>
      </c>
      <c r="C237" s="57" t="s">
        <v>20</v>
      </c>
      <c r="D237" s="57" t="s">
        <v>332</v>
      </c>
      <c r="E237" s="57" t="s">
        <v>345</v>
      </c>
      <c r="F237" s="58">
        <v>1</v>
      </c>
      <c r="G237" s="60">
        <v>11.1</v>
      </c>
      <c r="H237" s="59">
        <v>0</v>
      </c>
      <c r="I237" s="60">
        <f>Ordini!$G237/(1+Ordini!$H237)</f>
        <v>11.1</v>
      </c>
      <c r="J237" s="60">
        <v>0</v>
      </c>
      <c r="K237" s="60">
        <v>2.14</v>
      </c>
      <c r="L237" s="60">
        <v>4.3600000000000003</v>
      </c>
      <c r="M237" s="58" t="s">
        <v>22</v>
      </c>
      <c r="N237" s="58"/>
      <c r="O237" s="61">
        <f>Ordini!$K237+Ordini!$J237+Ordini!$L237</f>
        <v>6.5</v>
      </c>
      <c r="P237" s="61">
        <f>Ordini!$I237-Ordini!$O237</f>
        <v>4.5999999999999996</v>
      </c>
      <c r="Q237" s="58" t="str">
        <f>IF(Ordini!$P237&lt;0,"DA EVITARE","OK")</f>
        <v>OK</v>
      </c>
      <c r="R237" s="58"/>
    </row>
    <row r="238" spans="1:18" s="62" customFormat="1" x14ac:dyDescent="0.25">
      <c r="A238" s="48" t="s">
        <v>106</v>
      </c>
      <c r="B238" s="49" t="s">
        <v>111</v>
      </c>
      <c r="C238" s="49" t="s">
        <v>20</v>
      </c>
      <c r="D238" s="49" t="s">
        <v>333</v>
      </c>
      <c r="E238" s="49" t="s">
        <v>73</v>
      </c>
      <c r="F238" s="50">
        <v>1</v>
      </c>
      <c r="G238" s="52">
        <v>35</v>
      </c>
      <c r="H238" s="51">
        <v>0</v>
      </c>
      <c r="I238" s="52">
        <f>Ordini!$G238/(1+Ordini!$H238)</f>
        <v>35</v>
      </c>
      <c r="J238" s="52">
        <v>5.0199999999999996</v>
      </c>
      <c r="K238" s="52">
        <v>14.47</v>
      </c>
      <c r="L238" s="52">
        <v>7.1</v>
      </c>
      <c r="M238" s="50" t="s">
        <v>22</v>
      </c>
      <c r="N238" s="50"/>
      <c r="O238" s="53">
        <f>Ordini!$K238+Ordini!$J238+Ordini!$L238</f>
        <v>26.590000000000003</v>
      </c>
      <c r="P238" s="53">
        <f>Ordini!$I238-Ordini!$O238</f>
        <v>8.4099999999999966</v>
      </c>
      <c r="Q238" s="50" t="str">
        <f>IF(Ordini!$P238&lt;0,"DA EVITARE","OK")</f>
        <v>OK</v>
      </c>
      <c r="R238" s="50"/>
    </row>
    <row r="239" spans="1:18" s="55" customFormat="1" x14ac:dyDescent="0.25">
      <c r="A239" s="56" t="s">
        <v>107</v>
      </c>
      <c r="B239" s="57" t="s">
        <v>110</v>
      </c>
      <c r="C239" s="57" t="s">
        <v>20</v>
      </c>
      <c r="D239" s="57" t="s">
        <v>334</v>
      </c>
      <c r="E239" s="57" t="s">
        <v>73</v>
      </c>
      <c r="F239" s="58">
        <v>1</v>
      </c>
      <c r="G239" s="60">
        <v>34.659999999999997</v>
      </c>
      <c r="H239" s="59">
        <v>0</v>
      </c>
      <c r="I239" s="60">
        <f>Ordini!$G239/(1+Ordini!$H239)</f>
        <v>34.659999999999997</v>
      </c>
      <c r="J239" s="60">
        <v>0</v>
      </c>
      <c r="K239" s="60">
        <v>14.47</v>
      </c>
      <c r="L239" s="60">
        <v>7.1</v>
      </c>
      <c r="M239" s="58" t="s">
        <v>22</v>
      </c>
      <c r="N239" s="58"/>
      <c r="O239" s="61">
        <f>Ordini!$K239+Ordini!$J239+Ordini!$L239</f>
        <v>21.57</v>
      </c>
      <c r="P239" s="61">
        <f>Ordini!$I239-Ordini!$O239</f>
        <v>13.089999999999996</v>
      </c>
      <c r="Q239" s="58" t="str">
        <f>IF(Ordini!$P239&lt;0,"DA EVITARE","OK")</f>
        <v>OK</v>
      </c>
      <c r="R239" s="58"/>
    </row>
    <row r="240" spans="1:18" s="62" customFormat="1" x14ac:dyDescent="0.25">
      <c r="A240" s="48" t="s">
        <v>107</v>
      </c>
      <c r="B240" s="49" t="s">
        <v>110</v>
      </c>
      <c r="C240" s="49" t="s">
        <v>20</v>
      </c>
      <c r="D240" s="49" t="s">
        <v>335</v>
      </c>
      <c r="E240" s="49" t="s">
        <v>73</v>
      </c>
      <c r="F240" s="50">
        <v>1</v>
      </c>
      <c r="G240" s="52">
        <v>34.659999999999997</v>
      </c>
      <c r="H240" s="51">
        <v>0</v>
      </c>
      <c r="I240" s="52">
        <f>Ordini!$G240/(1+Ordini!$H240)</f>
        <v>34.659999999999997</v>
      </c>
      <c r="J240" s="52">
        <v>0</v>
      </c>
      <c r="K240" s="52">
        <v>14.47</v>
      </c>
      <c r="L240" s="52">
        <v>7.1</v>
      </c>
      <c r="M240" s="50" t="s">
        <v>22</v>
      </c>
      <c r="N240" s="50"/>
      <c r="O240" s="53">
        <f>Ordini!$K240+Ordini!$J240+Ordini!$L240</f>
        <v>21.57</v>
      </c>
      <c r="P240" s="53">
        <f>Ordini!$I240-Ordini!$O240</f>
        <v>13.089999999999996</v>
      </c>
      <c r="Q240" s="50" t="str">
        <f>IF(Ordini!$P240&lt;0,"DA EVITARE","OK")</f>
        <v>OK</v>
      </c>
      <c r="R240" s="50"/>
    </row>
    <row r="241" spans="1:18" s="55" customFormat="1" x14ac:dyDescent="0.25">
      <c r="A241" s="56" t="s">
        <v>107</v>
      </c>
      <c r="B241" s="57" t="s">
        <v>110</v>
      </c>
      <c r="C241" s="57" t="s">
        <v>20</v>
      </c>
      <c r="D241" s="57" t="s">
        <v>336</v>
      </c>
      <c r="E241" s="57" t="s">
        <v>396</v>
      </c>
      <c r="F241" s="58">
        <v>1</v>
      </c>
      <c r="G241" s="60">
        <v>17.27</v>
      </c>
      <c r="H241" s="59">
        <v>0</v>
      </c>
      <c r="I241" s="60">
        <f>Ordini!$G241/(1+Ordini!$H241)</f>
        <v>17.27</v>
      </c>
      <c r="J241" s="60">
        <v>0</v>
      </c>
      <c r="K241" s="60">
        <v>10.918999999999999</v>
      </c>
      <c r="L241" s="60">
        <v>4.3600000000000003</v>
      </c>
      <c r="M241" s="58" t="s">
        <v>22</v>
      </c>
      <c r="N241" s="58"/>
      <c r="O241" s="61">
        <f>Ordini!$K241+Ordini!$J241+Ordini!$L241</f>
        <v>15.279</v>
      </c>
      <c r="P241" s="61">
        <f>Ordini!$I241-Ordini!$O241</f>
        <v>1.9909999999999997</v>
      </c>
      <c r="Q241" s="58" t="str">
        <f>IF(Ordini!$P241&lt;0,"DA EVITARE","OK")</f>
        <v>OK</v>
      </c>
      <c r="R241" s="58"/>
    </row>
    <row r="242" spans="1:18" s="62" customFormat="1" x14ac:dyDescent="0.25">
      <c r="A242" s="48" t="s">
        <v>108</v>
      </c>
      <c r="B242" s="49" t="s">
        <v>110</v>
      </c>
      <c r="C242" s="49" t="s">
        <v>20</v>
      </c>
      <c r="D242" s="49" t="s">
        <v>337</v>
      </c>
      <c r="E242" s="49" t="s">
        <v>56</v>
      </c>
      <c r="F242" s="50">
        <v>1</v>
      </c>
      <c r="G242" s="52"/>
      <c r="H242" s="51">
        <v>0</v>
      </c>
      <c r="I242" s="52">
        <f>Ordini!$G242/(1+Ordini!$H242)</f>
        <v>0</v>
      </c>
      <c r="J242" s="52">
        <v>0</v>
      </c>
      <c r="K242" s="52"/>
      <c r="L242" s="52"/>
      <c r="M242" s="50" t="s">
        <v>25</v>
      </c>
      <c r="N242" s="50"/>
      <c r="O242" s="53">
        <f>Ordini!$K242+Ordini!$J242+Ordini!$L242</f>
        <v>0</v>
      </c>
      <c r="P242" s="53">
        <f>Ordini!$I242-Ordini!$O242</f>
        <v>0</v>
      </c>
      <c r="Q242" s="50" t="str">
        <f>IF(Ordini!$P242&lt;0,"DA EVITARE","OK")</f>
        <v>OK</v>
      </c>
      <c r="R242" s="50"/>
    </row>
    <row r="243" spans="1:18" s="55" customFormat="1" x14ac:dyDescent="0.25">
      <c r="A243" s="56" t="s">
        <v>108</v>
      </c>
      <c r="B243" s="57" t="s">
        <v>110</v>
      </c>
      <c r="C243" s="57" t="s">
        <v>20</v>
      </c>
      <c r="D243" s="57" t="s">
        <v>338</v>
      </c>
      <c r="E243" s="57" t="s">
        <v>352</v>
      </c>
      <c r="F243" s="58">
        <v>1</v>
      </c>
      <c r="G243" s="60">
        <v>26.67</v>
      </c>
      <c r="H243" s="59">
        <v>0</v>
      </c>
      <c r="I243" s="60">
        <f>Ordini!$G243/(1+Ordini!$H243)</f>
        <v>26.67</v>
      </c>
      <c r="J243" s="60">
        <v>0</v>
      </c>
      <c r="K243" s="60">
        <v>10.9678</v>
      </c>
      <c r="L243" s="60">
        <v>4.3600000000000003</v>
      </c>
      <c r="M243" s="58" t="s">
        <v>22</v>
      </c>
      <c r="N243" s="58"/>
      <c r="O243" s="61">
        <f>Ordini!$K243+Ordini!$J243+Ordini!$L243</f>
        <v>15.3278</v>
      </c>
      <c r="P243" s="61">
        <f>Ordini!$I243-Ordini!$O243</f>
        <v>11.342200000000002</v>
      </c>
      <c r="Q243" s="58" t="str">
        <f>IF(Ordini!$P243&lt;0,"DA EVITARE","OK")</f>
        <v>OK</v>
      </c>
      <c r="R243" s="58"/>
    </row>
    <row r="244" spans="1:18" s="62" customFormat="1" x14ac:dyDescent="0.25">
      <c r="A244" s="48">
        <v>46143</v>
      </c>
      <c r="B244" s="49" t="s">
        <v>110</v>
      </c>
      <c r="C244" s="49" t="s">
        <v>20</v>
      </c>
      <c r="D244" s="49" t="s">
        <v>416</v>
      </c>
      <c r="E244" s="49" t="s">
        <v>56</v>
      </c>
      <c r="F244" s="50">
        <v>1</v>
      </c>
      <c r="G244" s="52">
        <v>12.88</v>
      </c>
      <c r="H244" s="51">
        <v>0</v>
      </c>
      <c r="I244" s="52">
        <f>Ordini!$G244/(1+Ordini!$H244)</f>
        <v>12.88</v>
      </c>
      <c r="J244" s="52">
        <v>0</v>
      </c>
      <c r="K244" s="52">
        <v>6.62</v>
      </c>
      <c r="L244" s="52">
        <v>4.7699999999999996</v>
      </c>
      <c r="M244" s="50" t="s">
        <v>34</v>
      </c>
      <c r="N244" s="50"/>
      <c r="O244" s="53">
        <f>Ordini!$K244+Ordini!$J244+Ordini!$L244</f>
        <v>11.39</v>
      </c>
      <c r="P244" s="53">
        <f>Ordini!$I244-Ordini!$O244</f>
        <v>1.4900000000000002</v>
      </c>
      <c r="Q244" s="50" t="str">
        <f>IF(Ordini!$P244&lt;0,"DA EVITARE","OK")</f>
        <v>OK</v>
      </c>
      <c r="R244" s="50"/>
    </row>
    <row r="245" spans="1:18" s="55" customFormat="1" x14ac:dyDescent="0.25">
      <c r="A245" s="56">
        <v>46143</v>
      </c>
      <c r="B245" s="57" t="s">
        <v>110</v>
      </c>
      <c r="C245" s="57" t="s">
        <v>20</v>
      </c>
      <c r="D245" s="57" t="s">
        <v>417</v>
      </c>
      <c r="E245" s="57" t="s">
        <v>395</v>
      </c>
      <c r="F245" s="58">
        <v>1</v>
      </c>
      <c r="G245" s="60">
        <v>13.8</v>
      </c>
      <c r="H245" s="59">
        <v>0</v>
      </c>
      <c r="I245" s="60">
        <f>Ordini!$G245/(1+Ordini!$H245)</f>
        <v>13.8</v>
      </c>
      <c r="J245" s="60">
        <v>0</v>
      </c>
      <c r="K245" s="60">
        <v>5.8559999999999999</v>
      </c>
      <c r="L245" s="60">
        <v>4.3600000000000003</v>
      </c>
      <c r="M245" s="58" t="s">
        <v>34</v>
      </c>
      <c r="N245" s="58"/>
      <c r="O245" s="61">
        <f>Ordini!$K245+Ordini!$J245+Ordini!$L245</f>
        <v>10.216000000000001</v>
      </c>
      <c r="P245" s="61">
        <f>Ordini!$I245-Ordini!$O245</f>
        <v>3.5839999999999996</v>
      </c>
      <c r="Q245" s="58" t="str">
        <f>IF(Ordini!$P245&lt;0,"DA EVITARE","OK")</f>
        <v>OK</v>
      </c>
      <c r="R245" s="58"/>
    </row>
    <row r="246" spans="1:18" s="62" customFormat="1" x14ac:dyDescent="0.25">
      <c r="A246" s="48">
        <v>46143</v>
      </c>
      <c r="B246" s="49" t="s">
        <v>110</v>
      </c>
      <c r="C246" s="49" t="s">
        <v>20</v>
      </c>
      <c r="D246" s="49" t="s">
        <v>418</v>
      </c>
      <c r="E246" s="49" t="s">
        <v>72</v>
      </c>
      <c r="F246" s="50">
        <v>1</v>
      </c>
      <c r="G246" s="52">
        <v>20.350000000000001</v>
      </c>
      <c r="H246" s="51">
        <v>0</v>
      </c>
      <c r="I246" s="52">
        <f>Ordini!$G246/(1+Ordini!$H246)</f>
        <v>20.350000000000001</v>
      </c>
      <c r="J246" s="52">
        <v>0</v>
      </c>
      <c r="K246" s="52">
        <v>6.18</v>
      </c>
      <c r="L246" s="52">
        <v>4.7699999999999996</v>
      </c>
      <c r="M246" s="50" t="s">
        <v>34</v>
      </c>
      <c r="N246" s="50"/>
      <c r="O246" s="53">
        <f>Ordini!$K246+Ordini!$J246+Ordini!$L246</f>
        <v>10.95</v>
      </c>
      <c r="P246" s="53">
        <f>Ordini!$I246-Ordini!$O246</f>
        <v>9.4000000000000021</v>
      </c>
      <c r="Q246" s="50" t="str">
        <f>IF(Ordini!$P246&lt;0,"DA EVITARE","OK")</f>
        <v>OK</v>
      </c>
      <c r="R246" s="50"/>
    </row>
    <row r="247" spans="1:18" s="55" customFormat="1" x14ac:dyDescent="0.25">
      <c r="A247" s="56">
        <v>46143</v>
      </c>
      <c r="B247" s="57" t="s">
        <v>110</v>
      </c>
      <c r="C247" s="57" t="s">
        <v>20</v>
      </c>
      <c r="D247" s="57" t="s">
        <v>419</v>
      </c>
      <c r="E247" s="57" t="s">
        <v>56</v>
      </c>
      <c r="F247" s="58">
        <v>1</v>
      </c>
      <c r="G247" s="60">
        <v>14.13</v>
      </c>
      <c r="H247" s="59">
        <v>0</v>
      </c>
      <c r="I247" s="60">
        <f>Ordini!$G247/(1+Ordini!$H247)</f>
        <v>14.13</v>
      </c>
      <c r="J247" s="60">
        <v>0</v>
      </c>
      <c r="K247" s="60">
        <v>6.62</v>
      </c>
      <c r="L247" s="60">
        <v>4.7699999999999996</v>
      </c>
      <c r="M247" s="58" t="s">
        <v>34</v>
      </c>
      <c r="N247" s="58"/>
      <c r="O247" s="61">
        <f>Ordini!$K247+Ordini!$J247+Ordini!$L247</f>
        <v>11.39</v>
      </c>
      <c r="P247" s="61">
        <f>Ordini!$I247-Ordini!$O247</f>
        <v>2.74</v>
      </c>
      <c r="Q247" s="58" t="str">
        <f>IF(Ordini!$P247&lt;0,"DA EVITARE","OK")</f>
        <v>OK</v>
      </c>
      <c r="R247" s="58"/>
    </row>
    <row r="248" spans="1:18" s="62" customFormat="1" x14ac:dyDescent="0.25">
      <c r="A248" s="48">
        <v>46144</v>
      </c>
      <c r="B248" s="49" t="s">
        <v>110</v>
      </c>
      <c r="C248" s="49" t="s">
        <v>20</v>
      </c>
      <c r="D248" s="49" t="s">
        <v>420</v>
      </c>
      <c r="E248" s="49" t="s">
        <v>396</v>
      </c>
      <c r="F248" s="50">
        <v>1</v>
      </c>
      <c r="G248" s="52">
        <v>17.27</v>
      </c>
      <c r="H248" s="51">
        <v>0</v>
      </c>
      <c r="I248" s="52">
        <f>Ordini!$G248/(1+Ordini!$H248)</f>
        <v>17.27</v>
      </c>
      <c r="J248" s="52">
        <v>0</v>
      </c>
      <c r="K248" s="52">
        <v>10.918999999999999</v>
      </c>
      <c r="L248" s="52">
        <v>4.3600000000000003</v>
      </c>
      <c r="M248" s="50" t="s">
        <v>34</v>
      </c>
      <c r="N248" s="50"/>
      <c r="O248" s="53">
        <f>Ordini!$K248+Ordini!$J248+Ordini!$L248</f>
        <v>15.279</v>
      </c>
      <c r="P248" s="53">
        <f>Ordini!$I248-Ordini!$O248</f>
        <v>1.9909999999999997</v>
      </c>
      <c r="Q248" s="50" t="str">
        <f>IF(Ordini!$P248&lt;0,"DA EVITARE","OK")</f>
        <v>OK</v>
      </c>
      <c r="R248" s="50"/>
    </row>
    <row r="249" spans="1:18" s="55" customFormat="1" x14ac:dyDescent="0.25">
      <c r="A249" s="56">
        <v>46144</v>
      </c>
      <c r="B249" s="57" t="s">
        <v>110</v>
      </c>
      <c r="C249" s="57" t="s">
        <v>20</v>
      </c>
      <c r="D249" s="57" t="s">
        <v>421</v>
      </c>
      <c r="E249" s="57" t="s">
        <v>79</v>
      </c>
      <c r="F249" s="58">
        <v>1</v>
      </c>
      <c r="G249" s="60">
        <v>49.95</v>
      </c>
      <c r="H249" s="59">
        <v>0</v>
      </c>
      <c r="I249" s="60">
        <f>Ordini!$G249/(1+Ordini!$H249)</f>
        <v>49.95</v>
      </c>
      <c r="J249" s="60">
        <v>0</v>
      </c>
      <c r="K249" s="60">
        <v>24.03</v>
      </c>
      <c r="L249" s="60">
        <v>8.4</v>
      </c>
      <c r="M249" s="58" t="s">
        <v>34</v>
      </c>
      <c r="N249" s="58"/>
      <c r="O249" s="61">
        <f>Ordini!$K249+Ordini!$J249+Ordini!$L249</f>
        <v>32.43</v>
      </c>
      <c r="P249" s="61">
        <f>Ordini!$I249-Ordini!$O249</f>
        <v>17.520000000000003</v>
      </c>
      <c r="Q249" s="58" t="str">
        <f>IF(Ordini!$P249&lt;0,"DA EVITARE","OK")</f>
        <v>OK</v>
      </c>
      <c r="R249" s="58"/>
    </row>
    <row r="250" spans="1:18" s="62" customFormat="1" x14ac:dyDescent="0.25">
      <c r="A250" s="48">
        <v>46145</v>
      </c>
      <c r="B250" s="49" t="s">
        <v>110</v>
      </c>
      <c r="C250" s="49" t="s">
        <v>20</v>
      </c>
      <c r="D250" s="49" t="s">
        <v>422</v>
      </c>
      <c r="E250" s="49" t="s">
        <v>56</v>
      </c>
      <c r="F250" s="50">
        <v>1</v>
      </c>
      <c r="G250" s="52">
        <v>19.02</v>
      </c>
      <c r="H250" s="51">
        <v>0</v>
      </c>
      <c r="I250" s="52">
        <f>Ordini!$G250/(1+Ordini!$H250)</f>
        <v>19.02</v>
      </c>
      <c r="J250" s="52">
        <v>0</v>
      </c>
      <c r="K250" s="52">
        <v>6.62</v>
      </c>
      <c r="L250" s="52">
        <v>4.7699999999999996</v>
      </c>
      <c r="M250" s="50" t="s">
        <v>34</v>
      </c>
      <c r="N250" s="50"/>
      <c r="O250" s="53">
        <f>Ordini!$K250+Ordini!$J250+Ordini!$L250</f>
        <v>11.39</v>
      </c>
      <c r="P250" s="53">
        <f>Ordini!$I250-Ordini!$O250</f>
        <v>7.629999999999999</v>
      </c>
      <c r="Q250" s="50" t="str">
        <f>IF(Ordini!$P250&lt;0,"DA EVITARE","OK")</f>
        <v>OK</v>
      </c>
      <c r="R250" s="50"/>
    </row>
    <row r="251" spans="1:18" s="55" customFormat="1" x14ac:dyDescent="0.25">
      <c r="A251" s="56">
        <v>46145</v>
      </c>
      <c r="B251" s="57" t="s">
        <v>110</v>
      </c>
      <c r="C251" s="57" t="s">
        <v>20</v>
      </c>
      <c r="D251" s="57" t="s">
        <v>423</v>
      </c>
      <c r="E251" s="57" t="s">
        <v>396</v>
      </c>
      <c r="F251" s="58">
        <v>2</v>
      </c>
      <c r="G251" s="60">
        <v>28.56</v>
      </c>
      <c r="H251" s="59">
        <v>0</v>
      </c>
      <c r="I251" s="60">
        <f>Ordini!$G251/(1+Ordini!$H251)</f>
        <v>28.56</v>
      </c>
      <c r="J251" s="60">
        <v>0</v>
      </c>
      <c r="K251" s="60">
        <v>21.837999999999997</v>
      </c>
      <c r="L251" s="60">
        <v>4.3600000000000003</v>
      </c>
      <c r="M251" s="58" t="s">
        <v>34</v>
      </c>
      <c r="N251" s="58"/>
      <c r="O251" s="61">
        <f>Ordini!$K251+Ordini!$J251+Ordini!$L251</f>
        <v>26.197999999999997</v>
      </c>
      <c r="P251" s="61">
        <f>Ordini!$I251-Ordini!$O251</f>
        <v>2.3620000000000019</v>
      </c>
      <c r="Q251" s="58" t="str">
        <f>IF(Ordini!$P251&lt;0,"DA EVITARE","OK")</f>
        <v>OK</v>
      </c>
      <c r="R251" s="58"/>
    </row>
    <row r="252" spans="1:18" s="62" customFormat="1" x14ac:dyDescent="0.25">
      <c r="A252" s="48">
        <v>46145</v>
      </c>
      <c r="B252" s="49" t="s">
        <v>110</v>
      </c>
      <c r="C252" s="49" t="s">
        <v>20</v>
      </c>
      <c r="D252" s="49" t="s">
        <v>424</v>
      </c>
      <c r="E252" s="49" t="s">
        <v>79</v>
      </c>
      <c r="F252" s="50">
        <v>1</v>
      </c>
      <c r="G252" s="52">
        <v>47.7</v>
      </c>
      <c r="H252" s="51">
        <v>0</v>
      </c>
      <c r="I252" s="52">
        <f>Ordini!$G252/(1+Ordini!$H252)</f>
        <v>47.7</v>
      </c>
      <c r="J252" s="52">
        <v>0</v>
      </c>
      <c r="K252" s="52">
        <v>24.03</v>
      </c>
      <c r="L252" s="52">
        <v>8.4</v>
      </c>
      <c r="M252" s="50" t="s">
        <v>34</v>
      </c>
      <c r="N252" s="50"/>
      <c r="O252" s="53">
        <f>Ordini!$K252+Ordini!$J252+Ordini!$L252</f>
        <v>32.43</v>
      </c>
      <c r="P252" s="53">
        <f>Ordini!$I252-Ordini!$O252</f>
        <v>15.270000000000003</v>
      </c>
      <c r="Q252" s="50" t="str">
        <f>IF(Ordini!$P252&lt;0,"DA EVITARE","OK")</f>
        <v>OK</v>
      </c>
      <c r="R252" s="50"/>
    </row>
    <row r="253" spans="1:18" s="55" customFormat="1" x14ac:dyDescent="0.25">
      <c r="A253" s="56">
        <v>46146</v>
      </c>
      <c r="B253" s="57" t="s">
        <v>110</v>
      </c>
      <c r="C253" s="57" t="s">
        <v>20</v>
      </c>
      <c r="D253" s="57" t="s">
        <v>425</v>
      </c>
      <c r="E253" s="57" t="s">
        <v>79</v>
      </c>
      <c r="F253" s="58">
        <v>1</v>
      </c>
      <c r="G253" s="60">
        <v>49.86</v>
      </c>
      <c r="H253" s="59">
        <v>0</v>
      </c>
      <c r="I253" s="60">
        <f>Ordini!$G253/(1+Ordini!$H253)</f>
        <v>49.86</v>
      </c>
      <c r="J253" s="60">
        <v>0</v>
      </c>
      <c r="K253" s="60">
        <v>24.03</v>
      </c>
      <c r="L253" s="60">
        <v>8.4</v>
      </c>
      <c r="M253" s="58" t="s">
        <v>34</v>
      </c>
      <c r="N253" s="58"/>
      <c r="O253" s="61">
        <f>Ordini!$K253+Ordini!$J253+Ordini!$L253</f>
        <v>32.43</v>
      </c>
      <c r="P253" s="61">
        <f>Ordini!$I253-Ordini!$O253</f>
        <v>17.43</v>
      </c>
      <c r="Q253" s="58" t="str">
        <f>IF(Ordini!$P253&lt;0,"DA EVITARE","OK")</f>
        <v>OK</v>
      </c>
      <c r="R253" s="58"/>
    </row>
    <row r="254" spans="1:18" s="62" customFormat="1" x14ac:dyDescent="0.25">
      <c r="A254" s="48">
        <v>46146</v>
      </c>
      <c r="B254" s="49" t="s">
        <v>110</v>
      </c>
      <c r="C254" s="49" t="s">
        <v>20</v>
      </c>
      <c r="D254" s="49" t="s">
        <v>426</v>
      </c>
      <c r="E254" s="49" t="s">
        <v>395</v>
      </c>
      <c r="F254" s="50">
        <v>1</v>
      </c>
      <c r="G254" s="52">
        <v>13.8</v>
      </c>
      <c r="H254" s="51">
        <v>0</v>
      </c>
      <c r="I254" s="52">
        <f>Ordini!$G254/(1+Ordini!$H254)</f>
        <v>13.8</v>
      </c>
      <c r="J254" s="52">
        <v>0</v>
      </c>
      <c r="K254" s="52">
        <v>5.8559999999999999</v>
      </c>
      <c r="L254" s="52">
        <v>4.3600000000000003</v>
      </c>
      <c r="M254" s="50" t="s">
        <v>34</v>
      </c>
      <c r="N254" s="50"/>
      <c r="O254" s="53">
        <f>Ordini!$K254+Ordini!$J254+Ordini!$L254</f>
        <v>10.216000000000001</v>
      </c>
      <c r="P254" s="53">
        <f>Ordini!$I254-Ordini!$O254</f>
        <v>3.5839999999999996</v>
      </c>
      <c r="Q254" s="50" t="str">
        <f>IF(Ordini!$P254&lt;0,"DA EVITARE","OK")</f>
        <v>OK</v>
      </c>
      <c r="R254" s="50"/>
    </row>
    <row r="255" spans="1:18" s="55" customFormat="1" x14ac:dyDescent="0.25">
      <c r="A255" s="56">
        <v>46146</v>
      </c>
      <c r="B255" s="57" t="s">
        <v>110</v>
      </c>
      <c r="C255" s="57" t="s">
        <v>20</v>
      </c>
      <c r="D255" s="57" t="s">
        <v>427</v>
      </c>
      <c r="E255" s="57" t="s">
        <v>396</v>
      </c>
      <c r="F255" s="58">
        <v>1</v>
      </c>
      <c r="G255" s="60">
        <v>17.27</v>
      </c>
      <c r="H255" s="59">
        <v>0</v>
      </c>
      <c r="I255" s="60">
        <f>Ordini!$G255/(1+Ordini!$H255)</f>
        <v>17.27</v>
      </c>
      <c r="J255" s="60">
        <v>0</v>
      </c>
      <c r="K255" s="60">
        <v>10.918999999999999</v>
      </c>
      <c r="L255" s="60">
        <v>4.3600000000000003</v>
      </c>
      <c r="M255" s="58" t="s">
        <v>34</v>
      </c>
      <c r="N255" s="58"/>
      <c r="O255" s="61">
        <f>Ordini!$K255+Ordini!$J255+Ordini!$L255</f>
        <v>15.279</v>
      </c>
      <c r="P255" s="61">
        <f>Ordini!$I255-Ordini!$O255</f>
        <v>1.9909999999999997</v>
      </c>
      <c r="Q255" s="58" t="str">
        <f>IF(Ordini!$P255&lt;0,"DA EVITARE","OK")</f>
        <v>OK</v>
      </c>
      <c r="R255" s="58"/>
    </row>
    <row r="256" spans="1:18" s="62" customFormat="1" x14ac:dyDescent="0.25">
      <c r="A256" s="48">
        <v>46146</v>
      </c>
      <c r="B256" s="49" t="s">
        <v>109</v>
      </c>
      <c r="C256" s="49" t="s">
        <v>20</v>
      </c>
      <c r="D256" s="49" t="s">
        <v>428</v>
      </c>
      <c r="E256" s="49" t="s">
        <v>69</v>
      </c>
      <c r="F256" s="50">
        <v>1</v>
      </c>
      <c r="G256" s="52">
        <v>89.99</v>
      </c>
      <c r="H256" s="51">
        <v>0</v>
      </c>
      <c r="I256" s="52">
        <f>Ordini!$G256/(1+Ordini!$H256)</f>
        <v>89.99</v>
      </c>
      <c r="J256" s="52">
        <v>16.97</v>
      </c>
      <c r="K256" s="52">
        <v>38.61</v>
      </c>
      <c r="L256" s="52">
        <v>8.07</v>
      </c>
      <c r="M256" s="50" t="s">
        <v>22</v>
      </c>
      <c r="N256" s="50"/>
      <c r="O256" s="53">
        <f>Ordini!$K256+Ordini!$J256+Ordini!$L256</f>
        <v>63.65</v>
      </c>
      <c r="P256" s="53">
        <f>Ordini!$I256-Ordini!$O256</f>
        <v>26.339999999999996</v>
      </c>
      <c r="Q256" s="50" t="str">
        <f>IF(Ordini!$P256&lt;0,"DA EVITARE","OK")</f>
        <v>OK</v>
      </c>
      <c r="R256" s="50"/>
    </row>
    <row r="257" spans="1:18" s="55" customFormat="1" x14ac:dyDescent="0.25">
      <c r="A257" s="56">
        <v>46147</v>
      </c>
      <c r="B257" s="57" t="s">
        <v>363</v>
      </c>
      <c r="C257" s="57" t="s">
        <v>20</v>
      </c>
      <c r="D257" s="57" t="s">
        <v>597</v>
      </c>
      <c r="E257" s="57" t="s">
        <v>598</v>
      </c>
      <c r="F257" s="58">
        <v>1</v>
      </c>
      <c r="G257" s="60">
        <v>12.8</v>
      </c>
      <c r="H257" s="59">
        <v>0</v>
      </c>
      <c r="I257" s="60">
        <f>Ordini!$G257/(1+Ordini!$H257)</f>
        <v>12.8</v>
      </c>
      <c r="J257" s="60">
        <v>1.54</v>
      </c>
      <c r="K257" s="60">
        <v>4.2578000000000005</v>
      </c>
      <c r="L257" s="60">
        <v>4.3600000000000003</v>
      </c>
      <c r="M257" s="58" t="s">
        <v>34</v>
      </c>
      <c r="N257" s="58"/>
      <c r="O257" s="61">
        <f>Ordini!$K257+Ordini!$J257+Ordini!$L257</f>
        <v>10.157800000000002</v>
      </c>
      <c r="P257" s="61">
        <f>Ordini!$I257-Ordini!$O257</f>
        <v>2.642199999999999</v>
      </c>
      <c r="Q257" s="58" t="str">
        <f>IF(Ordini!$P257&lt;0,"DA EVITARE","OK")</f>
        <v>OK</v>
      </c>
      <c r="R257" s="58"/>
    </row>
    <row r="258" spans="1:18" s="98" customFormat="1" x14ac:dyDescent="0.25">
      <c r="A258" s="92">
        <v>46147</v>
      </c>
      <c r="B258" s="93" t="s">
        <v>109</v>
      </c>
      <c r="C258" s="93" t="s">
        <v>20</v>
      </c>
      <c r="D258" s="93" t="s">
        <v>429</v>
      </c>
      <c r="E258" s="93" t="s">
        <v>497</v>
      </c>
      <c r="F258" s="94">
        <v>1</v>
      </c>
      <c r="G258" s="95"/>
      <c r="H258" s="96">
        <v>0</v>
      </c>
      <c r="I258" s="95">
        <f>Ordini!$G258/(1+Ordini!$H258)</f>
        <v>0</v>
      </c>
      <c r="J258" s="95"/>
      <c r="K258" s="95">
        <v>21.386600000000001</v>
      </c>
      <c r="L258" s="95">
        <v>4.3600000000000003</v>
      </c>
      <c r="M258" s="94" t="s">
        <v>24</v>
      </c>
      <c r="N258" s="94"/>
      <c r="O258" s="97">
        <f>Ordini!$K258+Ordini!$J258+Ordini!$L258</f>
        <v>25.746600000000001</v>
      </c>
      <c r="P258" s="97">
        <f>Ordini!$I258-Ordini!$O258</f>
        <v>-25.746600000000001</v>
      </c>
      <c r="Q258" s="94" t="str">
        <f>IF(Ordini!$P258&lt;0,"DA EVITARE","OK")</f>
        <v>DA EVITARE</v>
      </c>
      <c r="R258" s="94"/>
    </row>
    <row r="259" spans="1:18" s="55" customFormat="1" x14ac:dyDescent="0.25">
      <c r="A259" s="56">
        <v>46147</v>
      </c>
      <c r="B259" s="57" t="s">
        <v>109</v>
      </c>
      <c r="C259" s="57" t="s">
        <v>20</v>
      </c>
      <c r="D259" s="57" t="s">
        <v>430</v>
      </c>
      <c r="E259" s="57" t="s">
        <v>499</v>
      </c>
      <c r="F259" s="58">
        <v>1</v>
      </c>
      <c r="G259" s="60">
        <v>24.9</v>
      </c>
      <c r="H259" s="59">
        <v>0</v>
      </c>
      <c r="I259" s="60">
        <f>Ordini!$G259/(1+Ordini!$H259)</f>
        <v>24.9</v>
      </c>
      <c r="J259" s="60">
        <v>4.71</v>
      </c>
      <c r="K259" s="60">
        <v>11.2362</v>
      </c>
      <c r="L259" s="60">
        <v>4.3600000000000003</v>
      </c>
      <c r="M259" s="58" t="s">
        <v>22</v>
      </c>
      <c r="N259" s="58"/>
      <c r="O259" s="61">
        <f>Ordini!$K259+Ordini!$J259+Ordini!$L259</f>
        <v>20.3062</v>
      </c>
      <c r="P259" s="61">
        <f>Ordini!$I259-Ordini!$O259</f>
        <v>4.5937999999999981</v>
      </c>
      <c r="Q259" s="58" t="str">
        <f>IF(Ordini!$P259&lt;0,"DA EVITARE","OK")</f>
        <v>OK</v>
      </c>
      <c r="R259" s="58"/>
    </row>
    <row r="260" spans="1:18" s="62" customFormat="1" x14ac:dyDescent="0.25">
      <c r="A260" s="48">
        <v>46148</v>
      </c>
      <c r="B260" s="49" t="s">
        <v>110</v>
      </c>
      <c r="C260" s="49" t="s">
        <v>20</v>
      </c>
      <c r="D260" s="49" t="s">
        <v>431</v>
      </c>
      <c r="E260" s="49" t="s">
        <v>345</v>
      </c>
      <c r="F260" s="50">
        <v>1</v>
      </c>
      <c r="G260" s="52">
        <v>11.1</v>
      </c>
      <c r="H260" s="51">
        <v>0</v>
      </c>
      <c r="I260" s="52">
        <f>Ordini!$G260/(1+Ordini!$H260)</f>
        <v>11.1</v>
      </c>
      <c r="J260" s="52">
        <v>0</v>
      </c>
      <c r="K260" s="52">
        <v>2.14</v>
      </c>
      <c r="L260" s="52">
        <v>4.3600000000000003</v>
      </c>
      <c r="M260" s="50" t="s">
        <v>34</v>
      </c>
      <c r="N260" s="50"/>
      <c r="O260" s="53">
        <f>Ordini!$K260+Ordini!$J260+Ordini!$L260</f>
        <v>6.5</v>
      </c>
      <c r="P260" s="53">
        <f>Ordini!$I260-Ordini!$O260</f>
        <v>4.5999999999999996</v>
      </c>
      <c r="Q260" s="50" t="str">
        <f>IF(Ordini!$P260&lt;0,"DA EVITARE","OK")</f>
        <v>OK</v>
      </c>
      <c r="R260" s="50"/>
    </row>
    <row r="261" spans="1:18" s="55" customFormat="1" x14ac:dyDescent="0.25">
      <c r="A261" s="56">
        <v>46148</v>
      </c>
      <c r="B261" s="57" t="s">
        <v>109</v>
      </c>
      <c r="C261" s="57" t="s">
        <v>20</v>
      </c>
      <c r="D261" s="57" t="s">
        <v>432</v>
      </c>
      <c r="E261" s="57" t="s">
        <v>500</v>
      </c>
      <c r="F261" s="58">
        <v>1</v>
      </c>
      <c r="G261" s="60">
        <v>48.23</v>
      </c>
      <c r="H261" s="59">
        <v>0</v>
      </c>
      <c r="I261" s="60">
        <f>Ordini!$G261/(1+Ordini!$H261)</f>
        <v>48.23</v>
      </c>
      <c r="J261" s="60">
        <v>9.08</v>
      </c>
      <c r="K261" s="60">
        <v>28.06</v>
      </c>
      <c r="L261" s="60">
        <v>4.3600000000000003</v>
      </c>
      <c r="M261" s="58" t="s">
        <v>22</v>
      </c>
      <c r="N261" s="58"/>
      <c r="O261" s="61">
        <f>Ordini!$K261+Ordini!$J261+Ordini!$L261</f>
        <v>41.5</v>
      </c>
      <c r="P261" s="61">
        <f>Ordini!$I261-Ordini!$O261</f>
        <v>6.7299999999999969</v>
      </c>
      <c r="Q261" s="58" t="str">
        <f>IF(Ordini!$P261&lt;0,"DA EVITARE","OK")</f>
        <v>OK</v>
      </c>
      <c r="R261" s="58"/>
    </row>
    <row r="262" spans="1:18" s="62" customFormat="1" x14ac:dyDescent="0.25">
      <c r="A262" s="48">
        <v>46148</v>
      </c>
      <c r="B262" s="49" t="s">
        <v>110</v>
      </c>
      <c r="C262" s="49" t="s">
        <v>20</v>
      </c>
      <c r="D262" s="49" t="s">
        <v>433</v>
      </c>
      <c r="E262" s="49" t="s">
        <v>345</v>
      </c>
      <c r="F262" s="50">
        <v>1</v>
      </c>
      <c r="G262" s="52">
        <v>11.1</v>
      </c>
      <c r="H262" s="51">
        <v>0</v>
      </c>
      <c r="I262" s="52">
        <f>Ordini!$G262/(1+Ordini!$H262)</f>
        <v>11.1</v>
      </c>
      <c r="J262" s="52">
        <v>0</v>
      </c>
      <c r="K262" s="52">
        <v>2.14</v>
      </c>
      <c r="L262" s="52">
        <v>4.3600000000000003</v>
      </c>
      <c r="M262" s="50" t="s">
        <v>34</v>
      </c>
      <c r="N262" s="50"/>
      <c r="O262" s="53">
        <f>Ordini!$K262+Ordini!$J262+Ordini!$L262</f>
        <v>6.5</v>
      </c>
      <c r="P262" s="53">
        <f>Ordini!$I262-Ordini!$O262</f>
        <v>4.5999999999999996</v>
      </c>
      <c r="Q262" s="50" t="str">
        <f>IF(Ordini!$P262&lt;0,"DA EVITARE","OK")</f>
        <v>OK</v>
      </c>
      <c r="R262" s="50"/>
    </row>
    <row r="263" spans="1:18" s="55" customFormat="1" x14ac:dyDescent="0.25">
      <c r="A263" s="56">
        <v>46148</v>
      </c>
      <c r="B263" s="57" t="s">
        <v>111</v>
      </c>
      <c r="C263" s="57" t="s">
        <v>20</v>
      </c>
      <c r="D263" s="57" t="s">
        <v>511</v>
      </c>
      <c r="E263" s="57" t="s">
        <v>71</v>
      </c>
      <c r="F263" s="58">
        <v>1</v>
      </c>
      <c r="G263" s="60">
        <v>53.68</v>
      </c>
      <c r="H263" s="59">
        <v>0</v>
      </c>
      <c r="I263" s="60">
        <f>Ordini!$G263/(1+Ordini!$H263)</f>
        <v>53.68</v>
      </c>
      <c r="J263" s="60">
        <v>5.1000000000000005</v>
      </c>
      <c r="K263" s="60">
        <v>32.049999999999997</v>
      </c>
      <c r="L263" s="60">
        <v>5.87</v>
      </c>
      <c r="M263" s="58" t="s">
        <v>22</v>
      </c>
      <c r="N263" s="58"/>
      <c r="O263" s="61">
        <f>Ordini!$K263+Ordini!$J263+Ordini!$L263</f>
        <v>43.019999999999996</v>
      </c>
      <c r="P263" s="61">
        <f>Ordini!$I263-Ordini!$O263</f>
        <v>10.660000000000004</v>
      </c>
      <c r="Q263" s="58" t="str">
        <f>IF(Ordini!$P263&lt;0,"DA EVITARE","OK")</f>
        <v>OK</v>
      </c>
      <c r="R263" s="58"/>
    </row>
    <row r="264" spans="1:18" s="62" customFormat="1" x14ac:dyDescent="0.25">
      <c r="A264" s="48">
        <v>46148</v>
      </c>
      <c r="B264" s="49" t="s">
        <v>111</v>
      </c>
      <c r="C264" s="49" t="s">
        <v>20</v>
      </c>
      <c r="D264" s="49" t="s">
        <v>512</v>
      </c>
      <c r="E264" s="49" t="s">
        <v>72</v>
      </c>
      <c r="F264" s="50">
        <v>1</v>
      </c>
      <c r="G264" s="52">
        <v>23.72</v>
      </c>
      <c r="H264" s="51">
        <v>0</v>
      </c>
      <c r="I264" s="52">
        <f>Ordini!$G264/(1+Ordini!$H264)</f>
        <v>23.72</v>
      </c>
      <c r="J264" s="52">
        <v>3.75</v>
      </c>
      <c r="K264" s="52">
        <v>6.18</v>
      </c>
      <c r="L264" s="52">
        <v>4.7699999999999996</v>
      </c>
      <c r="M264" s="50" t="s">
        <v>22</v>
      </c>
      <c r="N264" s="50"/>
      <c r="O264" s="53">
        <f>Ordini!$K264+Ordini!$J264+Ordini!$L264</f>
        <v>14.7</v>
      </c>
      <c r="P264" s="53">
        <f>Ordini!$I264-Ordini!$O264</f>
        <v>9.02</v>
      </c>
      <c r="Q264" s="50" t="str">
        <f>IF(Ordini!$P264&lt;0,"DA EVITARE","OK")</f>
        <v>OK</v>
      </c>
      <c r="R264" s="50"/>
    </row>
    <row r="265" spans="1:18" s="55" customFormat="1" x14ac:dyDescent="0.25">
      <c r="A265" s="56">
        <v>46149</v>
      </c>
      <c r="B265" s="57" t="s">
        <v>110</v>
      </c>
      <c r="C265" s="57" t="s">
        <v>20</v>
      </c>
      <c r="D265" s="57" t="s">
        <v>434</v>
      </c>
      <c r="E265" s="57" t="s">
        <v>54</v>
      </c>
      <c r="F265" s="58">
        <v>1</v>
      </c>
      <c r="G265" s="60">
        <v>22.47</v>
      </c>
      <c r="H265" s="59">
        <v>0</v>
      </c>
      <c r="I265" s="60">
        <f>Ordini!$G265/(1+Ordini!$H265)</f>
        <v>22.47</v>
      </c>
      <c r="J265" s="60">
        <v>0</v>
      </c>
      <c r="K265" s="60">
        <v>10.440000000000001</v>
      </c>
      <c r="L265" s="60">
        <v>4.7699999999999996</v>
      </c>
      <c r="M265" s="58" t="s">
        <v>34</v>
      </c>
      <c r="N265" s="58"/>
      <c r="O265" s="61">
        <f>Ordini!$K265+Ordini!$J265+Ordini!$L265</f>
        <v>15.21</v>
      </c>
      <c r="P265" s="61">
        <f>Ordini!$I265-Ordini!$O265</f>
        <v>7.259999999999998</v>
      </c>
      <c r="Q265" s="58" t="str">
        <f>IF(Ordini!$P265&lt;0,"DA EVITARE","OK")</f>
        <v>OK</v>
      </c>
      <c r="R265" s="58"/>
    </row>
    <row r="266" spans="1:18" s="62" customFormat="1" x14ac:dyDescent="0.25">
      <c r="A266" s="48">
        <v>46149</v>
      </c>
      <c r="B266" s="49" t="s">
        <v>110</v>
      </c>
      <c r="C266" s="49" t="s">
        <v>20</v>
      </c>
      <c r="D266" s="49" t="s">
        <v>435</v>
      </c>
      <c r="E266" s="49" t="s">
        <v>79</v>
      </c>
      <c r="F266" s="50">
        <v>1</v>
      </c>
      <c r="G266" s="52">
        <v>49.91</v>
      </c>
      <c r="H266" s="51">
        <v>0</v>
      </c>
      <c r="I266" s="52">
        <f>Ordini!$G266/(1+Ordini!$H266)</f>
        <v>49.91</v>
      </c>
      <c r="J266" s="52">
        <v>0</v>
      </c>
      <c r="K266" s="52">
        <v>24.03</v>
      </c>
      <c r="L266" s="52">
        <v>8.4</v>
      </c>
      <c r="M266" s="50" t="s">
        <v>34</v>
      </c>
      <c r="N266" s="50"/>
      <c r="O266" s="53">
        <f>Ordini!$K266+Ordini!$J266+Ordini!$L266</f>
        <v>32.43</v>
      </c>
      <c r="P266" s="53">
        <f>Ordini!$I266-Ordini!$O266</f>
        <v>17.479999999999997</v>
      </c>
      <c r="Q266" s="50" t="str">
        <f>IF(Ordini!$P266&lt;0,"DA EVITARE","OK")</f>
        <v>OK</v>
      </c>
      <c r="R266" s="50"/>
    </row>
    <row r="267" spans="1:18" s="55" customFormat="1" x14ac:dyDescent="0.25">
      <c r="A267" s="56">
        <v>46149</v>
      </c>
      <c r="B267" s="57" t="s">
        <v>109</v>
      </c>
      <c r="C267" s="57" t="s">
        <v>20</v>
      </c>
      <c r="D267" s="57" t="s">
        <v>436</v>
      </c>
      <c r="E267" s="57" t="s">
        <v>501</v>
      </c>
      <c r="F267" s="58">
        <v>2</v>
      </c>
      <c r="G267" s="60">
        <v>50</v>
      </c>
      <c r="H267" s="59">
        <v>0</v>
      </c>
      <c r="I267" s="60">
        <f>Ordini!$G267/(1+Ordini!$H267)</f>
        <v>50</v>
      </c>
      <c r="J267" s="60">
        <v>9.44</v>
      </c>
      <c r="K267" s="60">
        <v>29.59</v>
      </c>
      <c r="L267" s="60">
        <v>4.66</v>
      </c>
      <c r="M267" s="58" t="s">
        <v>22</v>
      </c>
      <c r="N267" s="58"/>
      <c r="O267" s="61">
        <f>Ordini!$K267+Ordini!$J267+Ordini!$L267</f>
        <v>43.69</v>
      </c>
      <c r="P267" s="61">
        <f>Ordini!$I267-Ordini!$O267</f>
        <v>6.3100000000000023</v>
      </c>
      <c r="Q267" s="58" t="str">
        <f>IF(Ordini!$P267&lt;0,"DA EVITARE","OK")</f>
        <v>OK</v>
      </c>
      <c r="R267" s="58"/>
    </row>
    <row r="268" spans="1:18" s="62" customFormat="1" x14ac:dyDescent="0.25">
      <c r="A268" s="48">
        <v>46149</v>
      </c>
      <c r="B268" s="49" t="s">
        <v>109</v>
      </c>
      <c r="C268" s="49" t="s">
        <v>20</v>
      </c>
      <c r="D268" s="49" t="s">
        <v>437</v>
      </c>
      <c r="E268" s="49" t="s">
        <v>354</v>
      </c>
      <c r="F268" s="50">
        <v>1</v>
      </c>
      <c r="G268" s="52">
        <v>42.64</v>
      </c>
      <c r="H268" s="51">
        <v>0</v>
      </c>
      <c r="I268" s="52">
        <f>Ordini!$G268/(1+Ordini!$H268)</f>
        <v>42.64</v>
      </c>
      <c r="J268" s="52">
        <v>8.0500000000000007</v>
      </c>
      <c r="K268" s="52">
        <v>31.158799999999999</v>
      </c>
      <c r="L268" s="52">
        <v>4.8499999999999996</v>
      </c>
      <c r="M268" s="50" t="s">
        <v>22</v>
      </c>
      <c r="N268" s="50"/>
      <c r="O268" s="53">
        <f>Ordini!$K268+Ordini!$J268+Ordini!$L268</f>
        <v>44.058799999999998</v>
      </c>
      <c r="P268" s="53">
        <f>Ordini!$I268-Ordini!$O268</f>
        <v>-1.4187999999999974</v>
      </c>
      <c r="Q268" s="50" t="str">
        <f>IF(Ordini!$P268&lt;0,"DA EVITARE","OK")</f>
        <v>DA EVITARE</v>
      </c>
      <c r="R268" s="50"/>
    </row>
    <row r="269" spans="1:18" s="55" customFormat="1" x14ac:dyDescent="0.25">
      <c r="A269" s="56">
        <v>46149</v>
      </c>
      <c r="B269" s="57" t="s">
        <v>110</v>
      </c>
      <c r="C269" s="57" t="s">
        <v>20</v>
      </c>
      <c r="D269" s="57" t="s">
        <v>438</v>
      </c>
      <c r="E269" s="57" t="s">
        <v>72</v>
      </c>
      <c r="F269" s="58">
        <v>1</v>
      </c>
      <c r="G269" s="60">
        <v>20.350000000000001</v>
      </c>
      <c r="H269" s="59">
        <v>0</v>
      </c>
      <c r="I269" s="60">
        <f>Ordini!$G269/(1+Ordini!$H269)</f>
        <v>20.350000000000001</v>
      </c>
      <c r="J269" s="60">
        <v>0</v>
      </c>
      <c r="K269" s="60">
        <v>6.18</v>
      </c>
      <c r="L269" s="60">
        <v>4.7699999999999996</v>
      </c>
      <c r="M269" s="58" t="s">
        <v>34</v>
      </c>
      <c r="N269" s="58"/>
      <c r="O269" s="61">
        <f>Ordini!$K269+Ordini!$J269+Ordini!$L269</f>
        <v>10.95</v>
      </c>
      <c r="P269" s="61">
        <f>Ordini!$I269-Ordini!$O269</f>
        <v>9.4000000000000021</v>
      </c>
      <c r="Q269" s="58" t="str">
        <f>IF(Ordini!$P269&lt;0,"DA EVITARE","OK")</f>
        <v>OK</v>
      </c>
      <c r="R269" s="58"/>
    </row>
    <row r="270" spans="1:18" s="62" customFormat="1" x14ac:dyDescent="0.25">
      <c r="A270" s="48">
        <v>46149</v>
      </c>
      <c r="B270" s="49" t="s">
        <v>110</v>
      </c>
      <c r="C270" s="49" t="s">
        <v>20</v>
      </c>
      <c r="D270" s="49" t="s">
        <v>439</v>
      </c>
      <c r="E270" s="49" t="s">
        <v>54</v>
      </c>
      <c r="F270" s="50">
        <v>1</v>
      </c>
      <c r="G270" s="52">
        <v>21.46</v>
      </c>
      <c r="H270" s="51">
        <v>0</v>
      </c>
      <c r="I270" s="52">
        <f>Ordini!$G270/(1+Ordini!$H270)</f>
        <v>21.46</v>
      </c>
      <c r="J270" s="52">
        <v>0</v>
      </c>
      <c r="K270" s="52">
        <v>10.440000000000001</v>
      </c>
      <c r="L270" s="52">
        <v>4.7699999999999996</v>
      </c>
      <c r="M270" s="50" t="s">
        <v>34</v>
      </c>
      <c r="N270" s="50"/>
      <c r="O270" s="53">
        <f>Ordini!$K270+Ordini!$J270+Ordini!$L270</f>
        <v>15.21</v>
      </c>
      <c r="P270" s="53">
        <f>Ordini!$I270-Ordini!$O270</f>
        <v>6.25</v>
      </c>
      <c r="Q270" s="50" t="str">
        <f>IF(Ordini!$P270&lt;0,"DA EVITARE","OK")</f>
        <v>OK</v>
      </c>
      <c r="R270" s="50"/>
    </row>
    <row r="271" spans="1:18" s="55" customFormat="1" x14ac:dyDescent="0.25">
      <c r="A271" s="56">
        <v>46150</v>
      </c>
      <c r="B271" s="57" t="s">
        <v>109</v>
      </c>
      <c r="C271" s="57" t="s">
        <v>20</v>
      </c>
      <c r="D271" s="57" t="s">
        <v>440</v>
      </c>
      <c r="E271" s="57" t="s">
        <v>78</v>
      </c>
      <c r="F271" s="58">
        <v>1</v>
      </c>
      <c r="G271" s="60">
        <v>39.99</v>
      </c>
      <c r="H271" s="59">
        <v>0</v>
      </c>
      <c r="I271" s="60">
        <f>Ordini!$G271/(1+Ordini!$H271)</f>
        <v>39.99</v>
      </c>
      <c r="J271" s="60">
        <v>7.53</v>
      </c>
      <c r="K271" s="60">
        <v>15.100000000000001</v>
      </c>
      <c r="L271" s="60">
        <v>4.8499999999999996</v>
      </c>
      <c r="M271" s="58" t="s">
        <v>22</v>
      </c>
      <c r="N271" s="58"/>
      <c r="O271" s="61">
        <f>Ordini!$K271+Ordini!$J271+Ordini!$L271</f>
        <v>27.480000000000004</v>
      </c>
      <c r="P271" s="61">
        <f>Ordini!$I271-Ordini!$O271</f>
        <v>12.509999999999998</v>
      </c>
      <c r="Q271" s="58" t="str">
        <f>IF(Ordini!$P271&lt;0,"DA EVITARE","OK")</f>
        <v>OK</v>
      </c>
      <c r="R271" s="58"/>
    </row>
    <row r="272" spans="1:18" s="62" customFormat="1" x14ac:dyDescent="0.25">
      <c r="A272" s="48">
        <v>46150</v>
      </c>
      <c r="B272" s="49" t="s">
        <v>109</v>
      </c>
      <c r="C272" s="49" t="s">
        <v>20</v>
      </c>
      <c r="D272" s="49" t="s">
        <v>441</v>
      </c>
      <c r="E272" s="49" t="s">
        <v>502</v>
      </c>
      <c r="F272" s="50">
        <v>2</v>
      </c>
      <c r="G272" s="52">
        <v>198</v>
      </c>
      <c r="H272" s="51">
        <v>0</v>
      </c>
      <c r="I272" s="52">
        <f>Ordini!$G272/(1+Ordini!$H272)</f>
        <v>198</v>
      </c>
      <c r="J272" s="52">
        <v>37.31</v>
      </c>
      <c r="K272" s="52">
        <v>117.1566</v>
      </c>
      <c r="L272" s="52">
        <v>5.87</v>
      </c>
      <c r="M272" s="50" t="s">
        <v>22</v>
      </c>
      <c r="N272" s="50"/>
      <c r="O272" s="53">
        <f>Ordini!$K272+Ordini!$J272+Ordini!$L272</f>
        <v>160.3366</v>
      </c>
      <c r="P272" s="53">
        <f>Ordini!$I272-Ordini!$O272</f>
        <v>37.663399999999996</v>
      </c>
      <c r="Q272" s="50" t="str">
        <f>IF(Ordini!$P272&lt;0,"DA EVITARE","OK")</f>
        <v>OK</v>
      </c>
      <c r="R272" s="50"/>
    </row>
    <row r="273" spans="1:18" s="55" customFormat="1" x14ac:dyDescent="0.25">
      <c r="A273" s="56">
        <v>46150</v>
      </c>
      <c r="B273" s="57" t="s">
        <v>109</v>
      </c>
      <c r="C273" s="57" t="s">
        <v>20</v>
      </c>
      <c r="D273" s="57" t="s">
        <v>442</v>
      </c>
      <c r="E273" s="57" t="s">
        <v>359</v>
      </c>
      <c r="F273" s="58">
        <v>1</v>
      </c>
      <c r="G273" s="60">
        <v>25.03</v>
      </c>
      <c r="H273" s="59">
        <v>0</v>
      </c>
      <c r="I273" s="60">
        <f>Ordini!$G273/(1+Ordini!$H273)</f>
        <v>25.03</v>
      </c>
      <c r="J273" s="60">
        <v>4.7</v>
      </c>
      <c r="K273" s="60">
        <v>11.211799999999998</v>
      </c>
      <c r="L273" s="60">
        <v>4.3600000000000003</v>
      </c>
      <c r="M273" s="58" t="s">
        <v>22</v>
      </c>
      <c r="N273" s="58"/>
      <c r="O273" s="61">
        <f>Ordini!$K273+Ordini!$J273+Ordini!$L273</f>
        <v>20.271799999999999</v>
      </c>
      <c r="P273" s="61">
        <f>Ordini!$I273-Ordini!$O273</f>
        <v>4.7582000000000022</v>
      </c>
      <c r="Q273" s="58" t="str">
        <f>IF(Ordini!$P273&lt;0,"DA EVITARE","OK")</f>
        <v>OK</v>
      </c>
      <c r="R273" s="58"/>
    </row>
    <row r="274" spans="1:18" s="62" customFormat="1" x14ac:dyDescent="0.25">
      <c r="A274" s="48">
        <v>46150</v>
      </c>
      <c r="B274" s="49" t="s">
        <v>109</v>
      </c>
      <c r="C274" s="49" t="s">
        <v>20</v>
      </c>
      <c r="D274" s="49" t="s">
        <v>443</v>
      </c>
      <c r="E274" s="49" t="s">
        <v>344</v>
      </c>
      <c r="F274" s="50">
        <v>1</v>
      </c>
      <c r="G274" s="52">
        <v>44.34</v>
      </c>
      <c r="H274" s="51">
        <v>0</v>
      </c>
      <c r="I274" s="52">
        <f>Ordini!$G274/(1+Ordini!$H274)</f>
        <v>44.34</v>
      </c>
      <c r="J274" s="52">
        <v>8.3699999999999992</v>
      </c>
      <c r="K274" s="52">
        <v>28.852999999999998</v>
      </c>
      <c r="L274" s="52">
        <v>4.8499999999999996</v>
      </c>
      <c r="M274" s="50" t="s">
        <v>22</v>
      </c>
      <c r="N274" s="50"/>
      <c r="O274" s="53">
        <f>Ordini!$K274+Ordini!$J274+Ordini!$L274</f>
        <v>42.073</v>
      </c>
      <c r="P274" s="53">
        <f>Ordini!$I274-Ordini!$O274</f>
        <v>2.267000000000003</v>
      </c>
      <c r="Q274" s="50" t="str">
        <f>IF(Ordini!$P274&lt;0,"DA EVITARE","OK")</f>
        <v>OK</v>
      </c>
      <c r="R274" s="50"/>
    </row>
    <row r="275" spans="1:18" s="55" customFormat="1" x14ac:dyDescent="0.25">
      <c r="A275" s="56">
        <v>46150</v>
      </c>
      <c r="B275" s="57" t="s">
        <v>109</v>
      </c>
      <c r="C275" s="57" t="s">
        <v>20</v>
      </c>
      <c r="D275" s="57" t="s">
        <v>444</v>
      </c>
      <c r="E275" s="57" t="s">
        <v>503</v>
      </c>
      <c r="F275" s="58">
        <v>3</v>
      </c>
      <c r="G275" s="60">
        <v>53.7</v>
      </c>
      <c r="H275" s="59">
        <v>0</v>
      </c>
      <c r="I275" s="60">
        <f>Ordini!$G275/(1+Ordini!$H275)</f>
        <v>53.7</v>
      </c>
      <c r="J275" s="60">
        <v>5.38</v>
      </c>
      <c r="K275" s="60">
        <v>34.586999999999996</v>
      </c>
      <c r="L275" s="60">
        <v>4.7699999999999996</v>
      </c>
      <c r="M275" s="58" t="s">
        <v>22</v>
      </c>
      <c r="N275" s="58"/>
      <c r="O275" s="61">
        <f>Ordini!$K275+Ordini!$J275+Ordini!$L275</f>
        <v>44.736999999999995</v>
      </c>
      <c r="P275" s="61">
        <f>Ordini!$I275-Ordini!$O275</f>
        <v>8.9630000000000081</v>
      </c>
      <c r="Q275" s="58" t="str">
        <f>IF(Ordini!$P275&lt;0,"DA EVITARE","OK")</f>
        <v>OK</v>
      </c>
      <c r="R275" s="58"/>
    </row>
    <row r="276" spans="1:18" s="62" customFormat="1" x14ac:dyDescent="0.25">
      <c r="A276" s="48">
        <v>46151</v>
      </c>
      <c r="B276" s="49" t="s">
        <v>109</v>
      </c>
      <c r="C276" s="49" t="s">
        <v>20</v>
      </c>
      <c r="D276" s="49" t="s">
        <v>445</v>
      </c>
      <c r="E276" s="49" t="s">
        <v>498</v>
      </c>
      <c r="F276" s="50">
        <v>1</v>
      </c>
      <c r="G276" s="52">
        <v>121.8</v>
      </c>
      <c r="H276" s="51">
        <v>0</v>
      </c>
      <c r="I276" s="52">
        <f>Ordini!$G276/(1+Ordini!$H276)</f>
        <v>121.8</v>
      </c>
      <c r="J276" s="52">
        <v>22.95</v>
      </c>
      <c r="K276" s="52">
        <v>61.939399999999999</v>
      </c>
      <c r="L276" s="52">
        <v>10</v>
      </c>
      <c r="M276" s="50" t="s">
        <v>22</v>
      </c>
      <c r="N276" s="50"/>
      <c r="O276" s="53">
        <f>Ordini!$K276+Ordini!$J276+Ordini!$L276</f>
        <v>94.889399999999995</v>
      </c>
      <c r="P276" s="53">
        <f>Ordini!$I276-Ordini!$O276</f>
        <v>26.910600000000002</v>
      </c>
      <c r="Q276" s="50" t="str">
        <f>IF(Ordini!$P276&lt;0,"DA EVITARE","OK")</f>
        <v>OK</v>
      </c>
      <c r="R276" s="50"/>
    </row>
    <row r="277" spans="1:18" s="55" customFormat="1" x14ac:dyDescent="0.25">
      <c r="A277" s="56">
        <v>46151</v>
      </c>
      <c r="B277" s="57" t="s">
        <v>109</v>
      </c>
      <c r="C277" s="57" t="s">
        <v>20</v>
      </c>
      <c r="D277" s="57" t="s">
        <v>446</v>
      </c>
      <c r="E277" s="57" t="s">
        <v>504</v>
      </c>
      <c r="F277" s="58">
        <v>1</v>
      </c>
      <c r="G277" s="60">
        <v>15.84</v>
      </c>
      <c r="H277" s="59">
        <v>0</v>
      </c>
      <c r="I277" s="60">
        <f>Ordini!$G277/(1+Ordini!$H277)</f>
        <v>15.84</v>
      </c>
      <c r="J277" s="60">
        <v>1.98</v>
      </c>
      <c r="K277" s="60">
        <v>5.7218</v>
      </c>
      <c r="L277" s="60">
        <v>4.3600000000000003</v>
      </c>
      <c r="M277" s="58" t="s">
        <v>22</v>
      </c>
      <c r="N277" s="58"/>
      <c r="O277" s="61">
        <f>Ordini!$K277+Ordini!$J277+Ordini!$L277</f>
        <v>12.061800000000002</v>
      </c>
      <c r="P277" s="61">
        <f>Ordini!$I277-Ordini!$O277</f>
        <v>3.7781999999999982</v>
      </c>
      <c r="Q277" s="58" t="str">
        <f>IF(Ordini!$P277&lt;0,"DA EVITARE","OK")</f>
        <v>OK</v>
      </c>
      <c r="R277" s="58"/>
    </row>
    <row r="278" spans="1:18" s="62" customFormat="1" x14ac:dyDescent="0.25">
      <c r="A278" s="48">
        <v>46151</v>
      </c>
      <c r="B278" s="49" t="s">
        <v>110</v>
      </c>
      <c r="C278" s="49" t="s">
        <v>20</v>
      </c>
      <c r="D278" s="49" t="s">
        <v>447</v>
      </c>
      <c r="E278" s="49" t="s">
        <v>395</v>
      </c>
      <c r="F278" s="50">
        <v>1</v>
      </c>
      <c r="G278" s="52">
        <v>13.8</v>
      </c>
      <c r="H278" s="51">
        <v>0</v>
      </c>
      <c r="I278" s="52">
        <f>Ordini!$G278/(1+Ordini!$H278)</f>
        <v>13.8</v>
      </c>
      <c r="J278" s="52">
        <v>0</v>
      </c>
      <c r="K278" s="52">
        <v>5.8559999999999999</v>
      </c>
      <c r="L278" s="52">
        <v>4.3600000000000003</v>
      </c>
      <c r="M278" s="50" t="s">
        <v>34</v>
      </c>
      <c r="N278" s="50"/>
      <c r="O278" s="53">
        <f>Ordini!$K278+Ordini!$J278+Ordini!$L278</f>
        <v>10.216000000000001</v>
      </c>
      <c r="P278" s="53">
        <f>Ordini!$I278-Ordini!$O278</f>
        <v>3.5839999999999996</v>
      </c>
      <c r="Q278" s="50" t="str">
        <f>IF(Ordini!$P278&lt;0,"DA EVITARE","OK")</f>
        <v>OK</v>
      </c>
      <c r="R278" s="50"/>
    </row>
    <row r="279" spans="1:18" s="55" customFormat="1" x14ac:dyDescent="0.25">
      <c r="A279" s="56">
        <v>46151</v>
      </c>
      <c r="B279" s="57" t="s">
        <v>109</v>
      </c>
      <c r="C279" s="57" t="s">
        <v>20</v>
      </c>
      <c r="D279" s="57" t="s">
        <v>448</v>
      </c>
      <c r="E279" s="57" t="s">
        <v>341</v>
      </c>
      <c r="F279" s="58">
        <v>2</v>
      </c>
      <c r="G279" s="60">
        <v>52</v>
      </c>
      <c r="H279" s="59">
        <v>0</v>
      </c>
      <c r="I279" s="60">
        <f>Ordini!$G279/(1+Ordini!$H279)</f>
        <v>52</v>
      </c>
      <c r="J279" s="60">
        <v>9.7899999999999991</v>
      </c>
      <c r="K279" s="60">
        <v>30.77</v>
      </c>
      <c r="L279" s="60">
        <v>4.7699999999999996</v>
      </c>
      <c r="M279" s="58" t="s">
        <v>22</v>
      </c>
      <c r="N279" s="58"/>
      <c r="O279" s="61">
        <f>Ordini!$K279+Ordini!$J279+Ordini!$L279</f>
        <v>45.33</v>
      </c>
      <c r="P279" s="61">
        <f>Ordini!$I279-Ordini!$O279</f>
        <v>6.6700000000000017</v>
      </c>
      <c r="Q279" s="58" t="str">
        <f>IF(Ordini!$P279&lt;0,"DA EVITARE","OK")</f>
        <v>OK</v>
      </c>
      <c r="R279" s="58"/>
    </row>
    <row r="280" spans="1:18" s="62" customFormat="1" x14ac:dyDescent="0.25">
      <c r="A280" s="48">
        <v>46152</v>
      </c>
      <c r="B280" s="49" t="s">
        <v>109</v>
      </c>
      <c r="C280" s="49" t="s">
        <v>20</v>
      </c>
      <c r="D280" s="49" t="s">
        <v>449</v>
      </c>
      <c r="E280" s="49" t="s">
        <v>505</v>
      </c>
      <c r="F280" s="50">
        <v>1</v>
      </c>
      <c r="G280" s="52"/>
      <c r="H280" s="51">
        <v>0</v>
      </c>
      <c r="I280" s="52">
        <f>Ordini!$G280/(1+Ordini!$H280)</f>
        <v>0</v>
      </c>
      <c r="J280" s="52"/>
      <c r="K280" s="52">
        <v>2.4500000000000002</v>
      </c>
      <c r="L280" s="52">
        <v>4.3600000000000003</v>
      </c>
      <c r="M280" s="50" t="s">
        <v>22</v>
      </c>
      <c r="N280" s="50"/>
      <c r="O280" s="53">
        <f>Ordini!$K280+Ordini!$J280+Ordini!$L280</f>
        <v>6.8100000000000005</v>
      </c>
      <c r="P280" s="53">
        <f>Ordini!$I280-Ordini!$O280</f>
        <v>-6.8100000000000005</v>
      </c>
      <c r="Q280" s="50" t="str">
        <f>IF(Ordini!$P280&lt;0,"DA EVITARE","OK")</f>
        <v>DA EVITARE</v>
      </c>
      <c r="R280" s="50" t="s">
        <v>652</v>
      </c>
    </row>
    <row r="281" spans="1:18" s="55" customFormat="1" x14ac:dyDescent="0.25">
      <c r="A281" s="56">
        <v>46153</v>
      </c>
      <c r="B281" s="57" t="s">
        <v>365</v>
      </c>
      <c r="C281" s="57" t="s">
        <v>368</v>
      </c>
      <c r="D281" s="57" t="s">
        <v>615</v>
      </c>
      <c r="E281" s="57" t="s">
        <v>616</v>
      </c>
      <c r="F281" s="58">
        <v>1</v>
      </c>
      <c r="G281" s="60">
        <v>298.64999999999998</v>
      </c>
      <c r="H281" s="59">
        <v>0</v>
      </c>
      <c r="I281" s="60">
        <f>Ordini!$G281/(1+Ordini!$H281)</f>
        <v>298.64999999999998</v>
      </c>
      <c r="J281" s="60">
        <v>38.82</v>
      </c>
      <c r="K281" s="60">
        <v>179.8768</v>
      </c>
      <c r="L281" s="60">
        <v>8.08</v>
      </c>
      <c r="M281" s="58" t="s">
        <v>34</v>
      </c>
      <c r="N281" s="58"/>
      <c r="O281" s="61">
        <f>Ordini!$K281+Ordini!$J281+Ordini!$L281</f>
        <v>226.77680000000001</v>
      </c>
      <c r="P281" s="61">
        <f>Ordini!$I281-Ordini!$O281</f>
        <v>71.873199999999969</v>
      </c>
      <c r="Q281" s="58" t="str">
        <f>IF(Ordini!$P281&lt;0,"DA EVITARE","OK")</f>
        <v>OK</v>
      </c>
      <c r="R281" s="58"/>
    </row>
    <row r="282" spans="1:18" s="62" customFormat="1" x14ac:dyDescent="0.25">
      <c r="A282" s="48">
        <v>46153</v>
      </c>
      <c r="B282" s="49" t="s">
        <v>110</v>
      </c>
      <c r="C282" s="49" t="s">
        <v>20</v>
      </c>
      <c r="D282" s="49" t="s">
        <v>450</v>
      </c>
      <c r="E282" s="49" t="s">
        <v>72</v>
      </c>
      <c r="F282" s="50">
        <v>1</v>
      </c>
      <c r="G282" s="52">
        <v>13.95</v>
      </c>
      <c r="H282" s="51">
        <v>0</v>
      </c>
      <c r="I282" s="52">
        <f>Ordini!$G282/(1+Ordini!$H282)</f>
        <v>13.95</v>
      </c>
      <c r="J282" s="52">
        <v>0</v>
      </c>
      <c r="K282" s="52">
        <v>6.18</v>
      </c>
      <c r="L282" s="52">
        <v>4.7699999999999996</v>
      </c>
      <c r="M282" s="50" t="s">
        <v>34</v>
      </c>
      <c r="N282" s="50"/>
      <c r="O282" s="53">
        <f>Ordini!$K282+Ordini!$J282+Ordini!$L282</f>
        <v>10.95</v>
      </c>
      <c r="P282" s="53">
        <f>Ordini!$I282-Ordini!$O282</f>
        <v>3</v>
      </c>
      <c r="Q282" s="50" t="str">
        <f>IF(Ordini!$P282&lt;0,"DA EVITARE","OK")</f>
        <v>OK</v>
      </c>
      <c r="R282" s="50"/>
    </row>
    <row r="283" spans="1:18" s="55" customFormat="1" x14ac:dyDescent="0.25">
      <c r="A283" s="56">
        <v>46153</v>
      </c>
      <c r="B283" s="57" t="s">
        <v>110</v>
      </c>
      <c r="C283" s="57" t="s">
        <v>20</v>
      </c>
      <c r="D283" s="57" t="s">
        <v>451</v>
      </c>
      <c r="E283" s="57" t="s">
        <v>54</v>
      </c>
      <c r="F283" s="58">
        <v>1</v>
      </c>
      <c r="G283" s="60">
        <v>22.47</v>
      </c>
      <c r="H283" s="59">
        <v>0</v>
      </c>
      <c r="I283" s="60">
        <f>Ordini!$G283/(1+Ordini!$H283)</f>
        <v>22.47</v>
      </c>
      <c r="J283" s="60">
        <v>0</v>
      </c>
      <c r="K283" s="60">
        <v>10.440000000000001</v>
      </c>
      <c r="L283" s="60">
        <v>4.7699999999999996</v>
      </c>
      <c r="M283" s="58" t="s">
        <v>34</v>
      </c>
      <c r="N283" s="58"/>
      <c r="O283" s="61">
        <f>Ordini!$K283+Ordini!$J283+Ordini!$L283</f>
        <v>15.21</v>
      </c>
      <c r="P283" s="61">
        <f>Ordini!$I283-Ordini!$O283</f>
        <v>7.259999999999998</v>
      </c>
      <c r="Q283" s="58" t="str">
        <f>IF(Ordini!$P283&lt;0,"DA EVITARE","OK")</f>
        <v>OK</v>
      </c>
      <c r="R283" s="58"/>
    </row>
    <row r="284" spans="1:18" s="62" customFormat="1" x14ac:dyDescent="0.25">
      <c r="A284" s="48">
        <v>46153</v>
      </c>
      <c r="B284" s="49" t="s">
        <v>110</v>
      </c>
      <c r="C284" s="49" t="s">
        <v>20</v>
      </c>
      <c r="D284" s="49" t="s">
        <v>452</v>
      </c>
      <c r="E284" s="49" t="s">
        <v>395</v>
      </c>
      <c r="F284" s="50">
        <v>2</v>
      </c>
      <c r="G284" s="52">
        <v>24.61</v>
      </c>
      <c r="H284" s="51">
        <v>0</v>
      </c>
      <c r="I284" s="52">
        <f>Ordini!$G284/(1+Ordini!$H284)</f>
        <v>24.61</v>
      </c>
      <c r="J284" s="52">
        <v>0</v>
      </c>
      <c r="K284" s="52">
        <v>11.712</v>
      </c>
      <c r="L284" s="52">
        <v>4.3600000000000003</v>
      </c>
      <c r="M284" s="50" t="s">
        <v>34</v>
      </c>
      <c r="N284" s="50"/>
      <c r="O284" s="53">
        <f>Ordini!$K284+Ordini!$J284+Ordini!$L284</f>
        <v>16.071999999999999</v>
      </c>
      <c r="P284" s="53">
        <f>Ordini!$I284-Ordini!$O284</f>
        <v>8.5380000000000003</v>
      </c>
      <c r="Q284" s="50" t="str">
        <f>IF(Ordini!$P284&lt;0,"DA EVITARE","OK")</f>
        <v>OK</v>
      </c>
      <c r="R284" s="50"/>
    </row>
    <row r="285" spans="1:18" s="55" customFormat="1" x14ac:dyDescent="0.25">
      <c r="A285" s="56">
        <v>46153</v>
      </c>
      <c r="B285" s="57" t="s">
        <v>111</v>
      </c>
      <c r="C285" s="57" t="s">
        <v>20</v>
      </c>
      <c r="D285" s="57" t="s">
        <v>513</v>
      </c>
      <c r="E285" s="57" t="s">
        <v>79</v>
      </c>
      <c r="F285" s="58">
        <v>1</v>
      </c>
      <c r="G285" s="60">
        <v>46.75</v>
      </c>
      <c r="H285" s="59">
        <v>0</v>
      </c>
      <c r="I285" s="60">
        <f>Ordini!$G285/(1+Ordini!$H285)</f>
        <v>46.75</v>
      </c>
      <c r="J285" s="60">
        <v>4.49</v>
      </c>
      <c r="K285" s="60">
        <v>24.03</v>
      </c>
      <c r="L285" s="60">
        <v>8.4</v>
      </c>
      <c r="M285" s="58" t="s">
        <v>22</v>
      </c>
      <c r="N285" s="58"/>
      <c r="O285" s="61">
        <f>Ordini!$K285+Ordini!$J285+Ordini!$L285</f>
        <v>36.92</v>
      </c>
      <c r="P285" s="61">
        <f>Ordini!$I285-Ordini!$O285</f>
        <v>9.8299999999999983</v>
      </c>
      <c r="Q285" s="58" t="str">
        <f>IF(Ordini!$P285&lt;0,"DA EVITARE","OK")</f>
        <v>OK</v>
      </c>
      <c r="R285" s="58"/>
    </row>
    <row r="286" spans="1:18" s="62" customFormat="1" x14ac:dyDescent="0.25">
      <c r="A286" s="48">
        <v>46154</v>
      </c>
      <c r="B286" s="49" t="s">
        <v>111</v>
      </c>
      <c r="C286" s="49" t="s">
        <v>20</v>
      </c>
      <c r="D286" s="49" t="s">
        <v>514</v>
      </c>
      <c r="E286" s="49" t="s">
        <v>79</v>
      </c>
      <c r="F286" s="50">
        <v>1</v>
      </c>
      <c r="G286" s="52">
        <v>46.75</v>
      </c>
      <c r="H286" s="51">
        <v>0</v>
      </c>
      <c r="I286" s="52">
        <f>Ordini!$G286/(1+Ordini!$H286)</f>
        <v>46.75</v>
      </c>
      <c r="J286" s="52">
        <v>4.49</v>
      </c>
      <c r="K286" s="52">
        <v>24.03</v>
      </c>
      <c r="L286" s="52">
        <v>8.4</v>
      </c>
      <c r="M286" s="50" t="s">
        <v>22</v>
      </c>
      <c r="N286" s="50"/>
      <c r="O286" s="53">
        <f>Ordini!$K286+Ordini!$J286+Ordini!$L286</f>
        <v>36.92</v>
      </c>
      <c r="P286" s="53">
        <f>Ordini!$I286-Ordini!$O286</f>
        <v>9.8299999999999983</v>
      </c>
      <c r="Q286" s="50" t="str">
        <f>IF(Ordini!$P286&lt;0,"DA EVITARE","OK")</f>
        <v>OK</v>
      </c>
      <c r="R286" s="50"/>
    </row>
    <row r="287" spans="1:18" s="55" customFormat="1" x14ac:dyDescent="0.25">
      <c r="A287" s="56">
        <v>46155</v>
      </c>
      <c r="B287" s="57" t="s">
        <v>111</v>
      </c>
      <c r="C287" s="57" t="s">
        <v>20</v>
      </c>
      <c r="D287" s="57" t="s">
        <v>515</v>
      </c>
      <c r="E287" s="57" t="s">
        <v>79</v>
      </c>
      <c r="F287" s="58">
        <v>1</v>
      </c>
      <c r="G287" s="60">
        <v>49.5</v>
      </c>
      <c r="H287" s="59">
        <v>0</v>
      </c>
      <c r="I287" s="60">
        <f>Ordini!$G287/(1+Ordini!$H287)</f>
        <v>49.5</v>
      </c>
      <c r="J287" s="60">
        <v>4.7300000000000004</v>
      </c>
      <c r="K287" s="60">
        <v>24.03</v>
      </c>
      <c r="L287" s="60">
        <v>8.4</v>
      </c>
      <c r="M287" s="58" t="s">
        <v>22</v>
      </c>
      <c r="N287" s="58"/>
      <c r="O287" s="61">
        <f>Ordini!$K287+Ordini!$J287+Ordini!$L287</f>
        <v>37.160000000000004</v>
      </c>
      <c r="P287" s="61">
        <f>Ordini!$I287-Ordini!$O287</f>
        <v>12.339999999999996</v>
      </c>
      <c r="Q287" s="58" t="str">
        <f>IF(Ordini!$P287&lt;0,"DA EVITARE","OK")</f>
        <v>OK</v>
      </c>
      <c r="R287" s="58"/>
    </row>
    <row r="288" spans="1:18" s="62" customFormat="1" x14ac:dyDescent="0.25">
      <c r="A288" s="48">
        <v>46155</v>
      </c>
      <c r="B288" s="49" t="s">
        <v>111</v>
      </c>
      <c r="C288" s="49" t="s">
        <v>20</v>
      </c>
      <c r="D288" s="49" t="s">
        <v>516</v>
      </c>
      <c r="E288" s="49" t="s">
        <v>79</v>
      </c>
      <c r="F288" s="50">
        <v>1</v>
      </c>
      <c r="G288" s="52">
        <v>49.5</v>
      </c>
      <c r="H288" s="51">
        <v>0</v>
      </c>
      <c r="I288" s="52">
        <f>Ordini!$G288/(1+Ordini!$H288)</f>
        <v>49.5</v>
      </c>
      <c r="J288" s="52">
        <v>4.7300000000000004</v>
      </c>
      <c r="K288" s="52">
        <v>24.03</v>
      </c>
      <c r="L288" s="52">
        <v>8.4</v>
      </c>
      <c r="M288" s="50" t="s">
        <v>22</v>
      </c>
      <c r="N288" s="50"/>
      <c r="O288" s="53">
        <f>Ordini!$K288+Ordini!$J288+Ordini!$L288</f>
        <v>37.160000000000004</v>
      </c>
      <c r="P288" s="53">
        <f>Ordini!$I288-Ordini!$O288</f>
        <v>12.339999999999996</v>
      </c>
      <c r="Q288" s="50" t="str">
        <f>IF(Ordini!$P288&lt;0,"DA EVITARE","OK")</f>
        <v>OK</v>
      </c>
      <c r="R288" s="50"/>
    </row>
    <row r="289" spans="1:18" s="55" customFormat="1" x14ac:dyDescent="0.25">
      <c r="A289" s="56">
        <v>46155</v>
      </c>
      <c r="B289" s="57" t="s">
        <v>111</v>
      </c>
      <c r="C289" s="57" t="s">
        <v>20</v>
      </c>
      <c r="D289" s="57" t="s">
        <v>517</v>
      </c>
      <c r="E289" s="57" t="s">
        <v>50</v>
      </c>
      <c r="F289" s="58">
        <v>1</v>
      </c>
      <c r="G289" s="60">
        <v>21.9</v>
      </c>
      <c r="H289" s="59">
        <v>0</v>
      </c>
      <c r="I289" s="60">
        <f>Ordini!$G289/(1+Ordini!$H289)</f>
        <v>21.9</v>
      </c>
      <c r="J289" s="60">
        <v>3.5</v>
      </c>
      <c r="K289" s="60">
        <v>6.41</v>
      </c>
      <c r="L289" s="60">
        <v>4.7699999999999996</v>
      </c>
      <c r="M289" s="58" t="s">
        <v>22</v>
      </c>
      <c r="N289" s="58"/>
      <c r="O289" s="61">
        <f>Ordini!$K289+Ordini!$J289+Ordini!$L289</f>
        <v>14.68</v>
      </c>
      <c r="P289" s="61">
        <f>Ordini!$I289-Ordini!$O289</f>
        <v>7.2199999999999989</v>
      </c>
      <c r="Q289" s="58" t="str">
        <f>IF(Ordini!$P289&lt;0,"DA EVITARE","OK")</f>
        <v>OK</v>
      </c>
      <c r="R289" s="58"/>
    </row>
    <row r="290" spans="1:18" s="62" customFormat="1" x14ac:dyDescent="0.25">
      <c r="A290" s="48">
        <v>46156</v>
      </c>
      <c r="B290" s="49" t="s">
        <v>363</v>
      </c>
      <c r="C290" s="49" t="s">
        <v>20</v>
      </c>
      <c r="D290" s="49" t="s">
        <v>599</v>
      </c>
      <c r="E290" s="49" t="s">
        <v>600</v>
      </c>
      <c r="F290" s="50">
        <v>1</v>
      </c>
      <c r="G290" s="52">
        <v>55.22</v>
      </c>
      <c r="H290" s="51">
        <v>0</v>
      </c>
      <c r="I290" s="52">
        <f>Ordini!$G290/(1+Ordini!$H290)</f>
        <v>55.22</v>
      </c>
      <c r="J290" s="52">
        <v>6.63</v>
      </c>
      <c r="K290" s="52">
        <v>34.111200000000004</v>
      </c>
      <c r="L290" s="52">
        <v>6.75</v>
      </c>
      <c r="M290" s="50" t="s">
        <v>34</v>
      </c>
      <c r="N290" s="50"/>
      <c r="O290" s="53">
        <f>Ordini!$K290+Ordini!$J290+Ordini!$L290</f>
        <v>47.491200000000006</v>
      </c>
      <c r="P290" s="53">
        <f>Ordini!$I290-Ordini!$O290</f>
        <v>7.7287999999999926</v>
      </c>
      <c r="Q290" s="50" t="str">
        <f>IF(Ordini!$P290&lt;0,"DA EVITARE","OK")</f>
        <v>OK</v>
      </c>
      <c r="R290" s="50"/>
    </row>
    <row r="291" spans="1:18" s="55" customFormat="1" x14ac:dyDescent="0.25">
      <c r="A291" s="56">
        <v>46156</v>
      </c>
      <c r="B291" s="57" t="s">
        <v>110</v>
      </c>
      <c r="C291" s="57" t="s">
        <v>20</v>
      </c>
      <c r="D291" s="57" t="s">
        <v>453</v>
      </c>
      <c r="E291" s="57" t="s">
        <v>347</v>
      </c>
      <c r="F291" s="58">
        <v>1</v>
      </c>
      <c r="G291" s="60">
        <v>12.98</v>
      </c>
      <c r="H291" s="59">
        <v>0</v>
      </c>
      <c r="I291" s="60">
        <f>Ordini!$G291/(1+Ordini!$H291)</f>
        <v>12.98</v>
      </c>
      <c r="J291" s="60">
        <v>0</v>
      </c>
      <c r="K291" s="60">
        <v>6</v>
      </c>
      <c r="L291" s="60">
        <v>4.7699999999999996</v>
      </c>
      <c r="M291" s="58" t="s">
        <v>34</v>
      </c>
      <c r="N291" s="58"/>
      <c r="O291" s="61">
        <f>Ordini!$K291+Ordini!$J291+Ordini!$L291</f>
        <v>10.77</v>
      </c>
      <c r="P291" s="61">
        <f>Ordini!$I291-Ordini!$O291</f>
        <v>2.2100000000000009</v>
      </c>
      <c r="Q291" s="58" t="str">
        <f>IF(Ordini!$P291&lt;0,"DA EVITARE","OK")</f>
        <v>OK</v>
      </c>
      <c r="R291" s="58"/>
    </row>
    <row r="292" spans="1:18" s="62" customFormat="1" x14ac:dyDescent="0.25">
      <c r="A292" s="48">
        <v>46157</v>
      </c>
      <c r="B292" s="49" t="s">
        <v>110</v>
      </c>
      <c r="C292" s="49" t="s">
        <v>20</v>
      </c>
      <c r="D292" s="49" t="s">
        <v>454</v>
      </c>
      <c r="E292" s="49" t="s">
        <v>54</v>
      </c>
      <c r="F292" s="50">
        <v>1</v>
      </c>
      <c r="G292" s="52">
        <v>22.47</v>
      </c>
      <c r="H292" s="51">
        <v>0</v>
      </c>
      <c r="I292" s="52">
        <f>Ordini!$G292/(1+Ordini!$H292)</f>
        <v>22.47</v>
      </c>
      <c r="J292" s="52">
        <v>0</v>
      </c>
      <c r="K292" s="52">
        <v>10.440000000000001</v>
      </c>
      <c r="L292" s="52">
        <v>4.7699999999999996</v>
      </c>
      <c r="M292" s="50" t="s">
        <v>22</v>
      </c>
      <c r="N292" s="50"/>
      <c r="O292" s="53">
        <f>Ordini!$K292+Ordini!$J292+Ordini!$L292</f>
        <v>15.21</v>
      </c>
      <c r="P292" s="53">
        <f>Ordini!$I292-Ordini!$O292</f>
        <v>7.259999999999998</v>
      </c>
      <c r="Q292" s="50" t="str">
        <f>IF(Ordini!$P292&lt;0,"DA EVITARE","OK")</f>
        <v>OK</v>
      </c>
      <c r="R292" s="50"/>
    </row>
    <row r="293" spans="1:18" s="55" customFormat="1" x14ac:dyDescent="0.25">
      <c r="A293" s="56">
        <v>46157</v>
      </c>
      <c r="B293" s="57" t="s">
        <v>109</v>
      </c>
      <c r="C293" s="57" t="s">
        <v>20</v>
      </c>
      <c r="D293" s="57" t="s">
        <v>455</v>
      </c>
      <c r="E293" s="57" t="s">
        <v>50</v>
      </c>
      <c r="F293" s="58">
        <v>1</v>
      </c>
      <c r="G293" s="60">
        <v>18.989999999999998</v>
      </c>
      <c r="H293" s="59">
        <v>0</v>
      </c>
      <c r="I293" s="60">
        <f>Ordini!$G293/(1+Ordini!$H293)</f>
        <v>18.989999999999998</v>
      </c>
      <c r="J293" s="60">
        <v>3.59</v>
      </c>
      <c r="K293" s="60">
        <v>6.41</v>
      </c>
      <c r="L293" s="60">
        <v>4.7699999999999996</v>
      </c>
      <c r="M293" s="58" t="s">
        <v>22</v>
      </c>
      <c r="N293" s="58"/>
      <c r="O293" s="61">
        <f>Ordini!$K293+Ordini!$J293+Ordini!$L293</f>
        <v>14.77</v>
      </c>
      <c r="P293" s="61">
        <f>Ordini!$I293-Ordini!$O293</f>
        <v>4.2199999999999989</v>
      </c>
      <c r="Q293" s="58" t="str">
        <f>IF(Ordini!$P293&lt;0,"DA EVITARE","OK")</f>
        <v>OK</v>
      </c>
      <c r="R293" s="58"/>
    </row>
    <row r="294" spans="1:18" s="62" customFormat="1" x14ac:dyDescent="0.25">
      <c r="A294" s="48">
        <v>46157</v>
      </c>
      <c r="B294" s="49" t="s">
        <v>110</v>
      </c>
      <c r="C294" s="49" t="s">
        <v>20</v>
      </c>
      <c r="D294" s="49" t="s">
        <v>456</v>
      </c>
      <c r="E294" s="49" t="s">
        <v>79</v>
      </c>
      <c r="F294" s="50">
        <v>1</v>
      </c>
      <c r="G294" s="52">
        <v>49.91</v>
      </c>
      <c r="H294" s="51">
        <v>0</v>
      </c>
      <c r="I294" s="52">
        <f>Ordini!$G294/(1+Ordini!$H294)</f>
        <v>49.91</v>
      </c>
      <c r="J294" s="52">
        <v>0</v>
      </c>
      <c r="K294" s="52">
        <v>24.03</v>
      </c>
      <c r="L294" s="52">
        <v>8.4</v>
      </c>
      <c r="M294" s="50" t="s">
        <v>22</v>
      </c>
      <c r="N294" s="50"/>
      <c r="O294" s="53">
        <f>Ordini!$K294+Ordini!$J294+Ordini!$L294</f>
        <v>32.43</v>
      </c>
      <c r="P294" s="53">
        <f>Ordini!$I294-Ordini!$O294</f>
        <v>17.479999999999997</v>
      </c>
      <c r="Q294" s="50" t="str">
        <f>IF(Ordini!$P294&lt;0,"DA EVITARE","OK")</f>
        <v>OK</v>
      </c>
      <c r="R294" s="50"/>
    </row>
    <row r="295" spans="1:18" s="55" customFormat="1" x14ac:dyDescent="0.25">
      <c r="A295" s="56">
        <v>46157</v>
      </c>
      <c r="B295" s="57" t="s">
        <v>110</v>
      </c>
      <c r="C295" s="57" t="s">
        <v>20</v>
      </c>
      <c r="D295" s="57" t="s">
        <v>457</v>
      </c>
      <c r="E295" s="57" t="s">
        <v>60</v>
      </c>
      <c r="F295" s="58">
        <v>1</v>
      </c>
      <c r="G295" s="60">
        <v>76.27</v>
      </c>
      <c r="H295" s="59">
        <v>0</v>
      </c>
      <c r="I295" s="60">
        <f>Ordini!$G295/(1+Ordini!$H295)</f>
        <v>76.27</v>
      </c>
      <c r="J295" s="60">
        <v>0</v>
      </c>
      <c r="K295" s="60">
        <v>39.76</v>
      </c>
      <c r="L295" s="60">
        <v>8.01</v>
      </c>
      <c r="M295" s="58" t="s">
        <v>22</v>
      </c>
      <c r="N295" s="58"/>
      <c r="O295" s="61">
        <f>Ordini!$K295+Ordini!$J295+Ordini!$L295</f>
        <v>47.769999999999996</v>
      </c>
      <c r="P295" s="61">
        <f>Ordini!$I295-Ordini!$O295</f>
        <v>28.5</v>
      </c>
      <c r="Q295" s="58" t="str">
        <f>IF(Ordini!$P295&lt;0,"DA EVITARE","OK")</f>
        <v>OK</v>
      </c>
      <c r="R295" s="58"/>
    </row>
    <row r="296" spans="1:18" s="62" customFormat="1" x14ac:dyDescent="0.25">
      <c r="A296" s="48">
        <v>46158</v>
      </c>
      <c r="B296" s="49" t="s">
        <v>110</v>
      </c>
      <c r="C296" s="49" t="s">
        <v>20</v>
      </c>
      <c r="D296" s="49" t="s">
        <v>458</v>
      </c>
      <c r="E296" s="49" t="s">
        <v>345</v>
      </c>
      <c r="F296" s="50">
        <v>1</v>
      </c>
      <c r="G296" s="52">
        <v>11.1</v>
      </c>
      <c r="H296" s="51">
        <v>0</v>
      </c>
      <c r="I296" s="52">
        <f>Ordini!$G296/(1+Ordini!$H296)</f>
        <v>11.1</v>
      </c>
      <c r="J296" s="52">
        <v>0</v>
      </c>
      <c r="K296" s="52">
        <v>2.14</v>
      </c>
      <c r="L296" s="52">
        <v>4.3600000000000003</v>
      </c>
      <c r="M296" s="50" t="s">
        <v>22</v>
      </c>
      <c r="N296" s="50"/>
      <c r="O296" s="53">
        <f>Ordini!$K296+Ordini!$J296+Ordini!$L296</f>
        <v>6.5</v>
      </c>
      <c r="P296" s="53">
        <f>Ordini!$I296-Ordini!$O296</f>
        <v>4.5999999999999996</v>
      </c>
      <c r="Q296" s="50" t="str">
        <f>IF(Ordini!$P296&lt;0,"DA EVITARE","OK")</f>
        <v>OK</v>
      </c>
      <c r="R296" s="50"/>
    </row>
    <row r="297" spans="1:18" s="55" customFormat="1" x14ac:dyDescent="0.25">
      <c r="A297" s="56">
        <v>46159</v>
      </c>
      <c r="B297" s="57" t="s">
        <v>111</v>
      </c>
      <c r="C297" s="57" t="s">
        <v>20</v>
      </c>
      <c r="D297" s="57" t="s">
        <v>518</v>
      </c>
      <c r="E297" s="57" t="s">
        <v>519</v>
      </c>
      <c r="F297" s="58">
        <v>1</v>
      </c>
      <c r="G297" s="60">
        <v>239.78</v>
      </c>
      <c r="H297" s="59">
        <v>0</v>
      </c>
      <c r="I297" s="60">
        <f>Ordini!$G297/(1+Ordini!$H297)</f>
        <v>239.78</v>
      </c>
      <c r="J297" s="60">
        <v>32.369999999999997</v>
      </c>
      <c r="K297" s="60">
        <v>165.4564</v>
      </c>
      <c r="L297" s="60">
        <v>4.8499999999999996</v>
      </c>
      <c r="M297" s="58" t="s">
        <v>22</v>
      </c>
      <c r="N297" s="58"/>
      <c r="O297" s="61">
        <f>Ordini!$K297+Ordini!$J297+Ordini!$L297</f>
        <v>202.6764</v>
      </c>
      <c r="P297" s="61">
        <f>Ordini!$I297-Ordini!$O297</f>
        <v>37.1036</v>
      </c>
      <c r="Q297" s="58" t="str">
        <f>IF(Ordini!$P297&lt;0,"DA EVITARE","OK")</f>
        <v>OK</v>
      </c>
      <c r="R297" s="58"/>
    </row>
    <row r="298" spans="1:18" s="62" customFormat="1" x14ac:dyDescent="0.25">
      <c r="A298" s="48">
        <v>46159</v>
      </c>
      <c r="B298" s="49" t="s">
        <v>111</v>
      </c>
      <c r="C298" s="49" t="s">
        <v>20</v>
      </c>
      <c r="D298" s="49" t="s">
        <v>520</v>
      </c>
      <c r="E298" s="49" t="s">
        <v>79</v>
      </c>
      <c r="F298" s="50">
        <v>1</v>
      </c>
      <c r="G298" s="52">
        <v>50.39</v>
      </c>
      <c r="H298" s="51">
        <v>0</v>
      </c>
      <c r="I298" s="52">
        <f>Ordini!$G298/(1+Ordini!$H298)</f>
        <v>50.39</v>
      </c>
      <c r="J298" s="52">
        <v>4.82</v>
      </c>
      <c r="K298" s="52">
        <v>24.03</v>
      </c>
      <c r="L298" s="52">
        <v>8.4</v>
      </c>
      <c r="M298" s="50" t="s">
        <v>22</v>
      </c>
      <c r="N298" s="50"/>
      <c r="O298" s="53">
        <f>Ordini!$K298+Ordini!$J298+Ordini!$L298</f>
        <v>37.25</v>
      </c>
      <c r="P298" s="53">
        <f>Ordini!$I298-Ordini!$O298</f>
        <v>13.14</v>
      </c>
      <c r="Q298" s="50" t="str">
        <f>IF(Ordini!$P298&lt;0,"DA EVITARE","OK")</f>
        <v>OK</v>
      </c>
      <c r="R298" s="50"/>
    </row>
    <row r="299" spans="1:18" s="55" customFormat="1" x14ac:dyDescent="0.25">
      <c r="A299" s="56">
        <v>46160</v>
      </c>
      <c r="B299" s="57" t="s">
        <v>109</v>
      </c>
      <c r="C299" s="57" t="s">
        <v>20</v>
      </c>
      <c r="D299" s="57" t="s">
        <v>459</v>
      </c>
      <c r="E299" s="57" t="s">
        <v>60</v>
      </c>
      <c r="F299" s="58">
        <v>1</v>
      </c>
      <c r="G299" s="60">
        <v>87.99</v>
      </c>
      <c r="H299" s="59">
        <v>0</v>
      </c>
      <c r="I299" s="60">
        <f>Ordini!$G299/(1+Ordini!$H299)</f>
        <v>87.99</v>
      </c>
      <c r="J299" s="60">
        <v>14.38</v>
      </c>
      <c r="K299" s="60">
        <v>39.76</v>
      </c>
      <c r="L299" s="60">
        <v>8.01</v>
      </c>
      <c r="M299" s="58" t="s">
        <v>22</v>
      </c>
      <c r="N299" s="58"/>
      <c r="O299" s="61">
        <f>Ordini!$K299+Ordini!$J299+Ordini!$L299</f>
        <v>62.15</v>
      </c>
      <c r="P299" s="61">
        <f>Ordini!$I299-Ordini!$O299</f>
        <v>25.839999999999996</v>
      </c>
      <c r="Q299" s="58" t="str">
        <f>IF(Ordini!$P299&lt;0,"DA EVITARE","OK")</f>
        <v>OK</v>
      </c>
      <c r="R299" s="58"/>
    </row>
    <row r="300" spans="1:18" s="62" customFormat="1" x14ac:dyDescent="0.25">
      <c r="A300" s="48">
        <v>46160</v>
      </c>
      <c r="B300" s="49" t="s">
        <v>110</v>
      </c>
      <c r="C300" s="49" t="s">
        <v>20</v>
      </c>
      <c r="D300" s="49" t="s">
        <v>460</v>
      </c>
      <c r="E300" s="49" t="s">
        <v>54</v>
      </c>
      <c r="F300" s="50">
        <v>1</v>
      </c>
      <c r="G300" s="52">
        <v>22.47</v>
      </c>
      <c r="H300" s="51">
        <v>0</v>
      </c>
      <c r="I300" s="52">
        <f>Ordini!$G300/(1+Ordini!$H300)</f>
        <v>22.47</v>
      </c>
      <c r="J300" s="52">
        <v>0</v>
      </c>
      <c r="K300" s="52">
        <v>10.440000000000001</v>
      </c>
      <c r="L300" s="52">
        <v>4.7699999999999996</v>
      </c>
      <c r="M300" s="50" t="s">
        <v>22</v>
      </c>
      <c r="N300" s="50"/>
      <c r="O300" s="53">
        <f>Ordini!$K300+Ordini!$J300+Ordini!$L300</f>
        <v>15.21</v>
      </c>
      <c r="P300" s="53">
        <f>Ordini!$I300-Ordini!$O300</f>
        <v>7.259999999999998</v>
      </c>
      <c r="Q300" s="50" t="str">
        <f>IF(Ordini!$P300&lt;0,"DA EVITARE","OK")</f>
        <v>OK</v>
      </c>
      <c r="R300" s="50"/>
    </row>
    <row r="301" spans="1:18" s="55" customFormat="1" x14ac:dyDescent="0.25">
      <c r="A301" s="56">
        <v>46160</v>
      </c>
      <c r="B301" s="57" t="s">
        <v>110</v>
      </c>
      <c r="C301" s="57" t="s">
        <v>20</v>
      </c>
      <c r="D301" s="57" t="s">
        <v>461</v>
      </c>
      <c r="E301" s="57" t="s">
        <v>60</v>
      </c>
      <c r="F301" s="58">
        <v>1</v>
      </c>
      <c r="G301" s="60">
        <v>73.28</v>
      </c>
      <c r="H301" s="59">
        <v>0</v>
      </c>
      <c r="I301" s="60">
        <f>Ordini!$G301/(1+Ordini!$H301)</f>
        <v>73.28</v>
      </c>
      <c r="J301" s="60">
        <v>0</v>
      </c>
      <c r="K301" s="60">
        <v>39.76</v>
      </c>
      <c r="L301" s="60">
        <v>8.01</v>
      </c>
      <c r="M301" s="58" t="s">
        <v>22</v>
      </c>
      <c r="N301" s="58"/>
      <c r="O301" s="61">
        <f>Ordini!$K301+Ordini!$J301+Ordini!$L301</f>
        <v>47.769999999999996</v>
      </c>
      <c r="P301" s="61">
        <f>Ordini!$I301-Ordini!$O301</f>
        <v>25.510000000000005</v>
      </c>
      <c r="Q301" s="58" t="str">
        <f>IF(Ordini!$P301&lt;0,"DA EVITARE","OK")</f>
        <v>OK</v>
      </c>
      <c r="R301" s="58"/>
    </row>
    <row r="302" spans="1:18" s="62" customFormat="1" x14ac:dyDescent="0.25">
      <c r="A302" s="48">
        <v>46161</v>
      </c>
      <c r="B302" s="49" t="s">
        <v>109</v>
      </c>
      <c r="C302" s="49" t="s">
        <v>20</v>
      </c>
      <c r="D302" s="49" t="s">
        <v>462</v>
      </c>
      <c r="E302" s="49" t="s">
        <v>60</v>
      </c>
      <c r="F302" s="50">
        <v>1</v>
      </c>
      <c r="G302" s="52">
        <v>87.99</v>
      </c>
      <c r="H302" s="51">
        <v>0</v>
      </c>
      <c r="I302" s="52">
        <f>Ordini!$G302/(1+Ordini!$H302)</f>
        <v>87.99</v>
      </c>
      <c r="J302" s="52">
        <v>14.38</v>
      </c>
      <c r="K302" s="52">
        <v>39.76</v>
      </c>
      <c r="L302" s="52">
        <v>8.01</v>
      </c>
      <c r="M302" s="50" t="s">
        <v>22</v>
      </c>
      <c r="N302" s="50"/>
      <c r="O302" s="53">
        <f>Ordini!$K302+Ordini!$J302+Ordini!$L302</f>
        <v>62.15</v>
      </c>
      <c r="P302" s="53">
        <f>Ordini!$I302-Ordini!$O302</f>
        <v>25.839999999999996</v>
      </c>
      <c r="Q302" s="50" t="str">
        <f>IF(Ordini!$P302&lt;0,"DA EVITARE","OK")</f>
        <v>OK</v>
      </c>
      <c r="R302" s="50"/>
    </row>
    <row r="303" spans="1:18" s="55" customFormat="1" x14ac:dyDescent="0.25">
      <c r="A303" s="56">
        <v>46161</v>
      </c>
      <c r="B303" s="57" t="s">
        <v>109</v>
      </c>
      <c r="C303" s="57" t="s">
        <v>20</v>
      </c>
      <c r="D303" s="57" t="s">
        <v>463</v>
      </c>
      <c r="E303" s="57" t="s">
        <v>60</v>
      </c>
      <c r="F303" s="58">
        <v>1</v>
      </c>
      <c r="G303" s="60">
        <v>87.99</v>
      </c>
      <c r="H303" s="59">
        <v>0</v>
      </c>
      <c r="I303" s="60">
        <f>Ordini!$G303/(1+Ordini!$H303)</f>
        <v>87.99</v>
      </c>
      <c r="J303" s="60">
        <v>14.38</v>
      </c>
      <c r="K303" s="60">
        <v>39.76</v>
      </c>
      <c r="L303" s="60">
        <v>8.01</v>
      </c>
      <c r="M303" s="58" t="s">
        <v>22</v>
      </c>
      <c r="N303" s="58"/>
      <c r="O303" s="61">
        <f>Ordini!$K303+Ordini!$J303+Ordini!$L303</f>
        <v>62.15</v>
      </c>
      <c r="P303" s="61">
        <f>Ordini!$I303-Ordini!$O303</f>
        <v>25.839999999999996</v>
      </c>
      <c r="Q303" s="58" t="str">
        <f>IF(Ordini!$P303&lt;0,"DA EVITARE","OK")</f>
        <v>OK</v>
      </c>
      <c r="R303" s="58"/>
    </row>
    <row r="304" spans="1:18" s="62" customFormat="1" x14ac:dyDescent="0.25">
      <c r="A304" s="48">
        <v>46161</v>
      </c>
      <c r="B304" s="49" t="s">
        <v>109</v>
      </c>
      <c r="C304" s="49" t="s">
        <v>20</v>
      </c>
      <c r="D304" s="49" t="s">
        <v>464</v>
      </c>
      <c r="E304" s="49" t="s">
        <v>60</v>
      </c>
      <c r="F304" s="50">
        <v>1</v>
      </c>
      <c r="G304" s="52">
        <v>87.99</v>
      </c>
      <c r="H304" s="51">
        <v>0</v>
      </c>
      <c r="I304" s="52">
        <f>Ordini!$G304/(1+Ordini!$H304)</f>
        <v>87.99</v>
      </c>
      <c r="J304" s="52">
        <v>14.38</v>
      </c>
      <c r="K304" s="52">
        <v>39.76</v>
      </c>
      <c r="L304" s="52">
        <v>8.01</v>
      </c>
      <c r="M304" s="50" t="s">
        <v>22</v>
      </c>
      <c r="N304" s="50"/>
      <c r="O304" s="53">
        <f>Ordini!$K304+Ordini!$J304+Ordini!$L304</f>
        <v>62.15</v>
      </c>
      <c r="P304" s="53">
        <f>Ordini!$I304-Ordini!$O304</f>
        <v>25.839999999999996</v>
      </c>
      <c r="Q304" s="50" t="str">
        <f>IF(Ordini!$P304&lt;0,"DA EVITARE","OK")</f>
        <v>OK</v>
      </c>
      <c r="R304" s="50"/>
    </row>
    <row r="305" spans="1:18" s="55" customFormat="1" x14ac:dyDescent="0.25">
      <c r="A305" s="56">
        <v>46161</v>
      </c>
      <c r="B305" s="57" t="s">
        <v>110</v>
      </c>
      <c r="C305" s="57" t="s">
        <v>20</v>
      </c>
      <c r="D305" s="57" t="s">
        <v>465</v>
      </c>
      <c r="E305" s="57" t="s">
        <v>413</v>
      </c>
      <c r="F305" s="58">
        <v>1</v>
      </c>
      <c r="G305" s="60">
        <v>16.57</v>
      </c>
      <c r="H305" s="59">
        <v>0</v>
      </c>
      <c r="I305" s="60">
        <f>Ordini!$G305/(1+Ordini!$H305)</f>
        <v>16.57</v>
      </c>
      <c r="J305" s="60">
        <v>0</v>
      </c>
      <c r="K305" s="60">
        <v>8.43</v>
      </c>
      <c r="L305" s="60">
        <v>4.7699999999999996</v>
      </c>
      <c r="M305" s="58" t="s">
        <v>22</v>
      </c>
      <c r="N305" s="58"/>
      <c r="O305" s="61">
        <f>Ordini!$K305+Ordini!$J305+Ordini!$L305</f>
        <v>13.2</v>
      </c>
      <c r="P305" s="61">
        <f>Ordini!$I305-Ordini!$O305</f>
        <v>3.370000000000001</v>
      </c>
      <c r="Q305" s="58" t="str">
        <f>IF(Ordini!$P305&lt;0,"DA EVITARE","OK")</f>
        <v>OK</v>
      </c>
      <c r="R305" s="58"/>
    </row>
    <row r="306" spans="1:18" s="62" customFormat="1" x14ac:dyDescent="0.25">
      <c r="A306" s="48">
        <v>46164</v>
      </c>
      <c r="B306" s="49" t="s">
        <v>111</v>
      </c>
      <c r="C306" s="49" t="s">
        <v>20</v>
      </c>
      <c r="D306" s="49" t="s">
        <v>521</v>
      </c>
      <c r="E306" s="49" t="s">
        <v>44</v>
      </c>
      <c r="F306" s="50">
        <v>1</v>
      </c>
      <c r="G306" s="52">
        <v>46.03</v>
      </c>
      <c r="H306" s="51">
        <v>0</v>
      </c>
      <c r="I306" s="52">
        <f>Ordini!$G306/(1+Ordini!$H306)</f>
        <v>46.03</v>
      </c>
      <c r="J306" s="52">
        <v>3.5</v>
      </c>
      <c r="K306" s="52">
        <v>20.970000000000002</v>
      </c>
      <c r="L306" s="52">
        <v>4.8499999999999996</v>
      </c>
      <c r="M306" s="50" t="s">
        <v>22</v>
      </c>
      <c r="N306" s="50"/>
      <c r="O306" s="53">
        <f>Ordini!$K306+Ordini!$J306+Ordini!$L306</f>
        <v>29.32</v>
      </c>
      <c r="P306" s="53">
        <f>Ordini!$I306-Ordini!$O306</f>
        <v>16.71</v>
      </c>
      <c r="Q306" s="50" t="str">
        <f>IF(Ordini!$P306&lt;0,"DA EVITARE","OK")</f>
        <v>OK</v>
      </c>
      <c r="R306" s="50"/>
    </row>
    <row r="307" spans="1:18" s="91" customFormat="1" x14ac:dyDescent="0.25">
      <c r="A307" s="85">
        <v>46162</v>
      </c>
      <c r="B307" s="86" t="s">
        <v>110</v>
      </c>
      <c r="C307" s="86" t="s">
        <v>20</v>
      </c>
      <c r="D307" s="86" t="s">
        <v>466</v>
      </c>
      <c r="E307" s="86" t="s">
        <v>49</v>
      </c>
      <c r="F307" s="87">
        <v>1</v>
      </c>
      <c r="G307" s="88"/>
      <c r="H307" s="89">
        <v>0</v>
      </c>
      <c r="I307" s="88">
        <f>Ordini!$G307/(1+Ordini!$H307)</f>
        <v>0</v>
      </c>
      <c r="J307" s="88">
        <v>0</v>
      </c>
      <c r="K307" s="88"/>
      <c r="L307" s="88">
        <f>4.77+4.77</f>
        <v>9.5399999999999991</v>
      </c>
      <c r="M307" s="87" t="s">
        <v>24</v>
      </c>
      <c r="N307" s="87">
        <v>1</v>
      </c>
      <c r="O307" s="90">
        <f>Ordini!$K307+Ordini!$J307+Ordini!$L307</f>
        <v>9.5399999999999991</v>
      </c>
      <c r="P307" s="90">
        <f>Ordini!$I307-Ordini!$O307</f>
        <v>-9.5399999999999991</v>
      </c>
      <c r="Q307" s="87" t="str">
        <f>IF(Ordini!$P307&lt;0,"DA EVITARE","OK")</f>
        <v>DA EVITARE</v>
      </c>
      <c r="R307" s="87"/>
    </row>
    <row r="308" spans="1:18" s="62" customFormat="1" x14ac:dyDescent="0.25">
      <c r="A308" s="48">
        <v>46162</v>
      </c>
      <c r="B308" s="49" t="s">
        <v>110</v>
      </c>
      <c r="C308" s="49" t="s">
        <v>20</v>
      </c>
      <c r="D308" s="49" t="s">
        <v>467</v>
      </c>
      <c r="E308" s="49" t="s">
        <v>510</v>
      </c>
      <c r="F308" s="50">
        <v>1</v>
      </c>
      <c r="G308" s="52">
        <v>12.07</v>
      </c>
      <c r="H308" s="51">
        <v>0</v>
      </c>
      <c r="I308" s="52">
        <f>Ordini!$G308/(1+Ordini!$H308)</f>
        <v>12.07</v>
      </c>
      <c r="J308" s="52">
        <v>0</v>
      </c>
      <c r="K308" s="52">
        <v>5.8559999999999999</v>
      </c>
      <c r="L308" s="52">
        <v>4.3600000000000003</v>
      </c>
      <c r="M308" s="50" t="s">
        <v>22</v>
      </c>
      <c r="N308" s="50"/>
      <c r="O308" s="53">
        <f>Ordini!$K308+Ordini!$J308+Ordini!$L308</f>
        <v>10.216000000000001</v>
      </c>
      <c r="P308" s="53">
        <f>Ordini!$I308-Ordini!$O308</f>
        <v>1.8539999999999992</v>
      </c>
      <c r="Q308" s="50" t="str">
        <f>IF(Ordini!$P308&lt;0,"DA EVITARE","OK")</f>
        <v>OK</v>
      </c>
      <c r="R308" s="50"/>
    </row>
    <row r="309" spans="1:18" s="91" customFormat="1" x14ac:dyDescent="0.25">
      <c r="A309" s="85">
        <v>46162</v>
      </c>
      <c r="B309" s="86" t="s">
        <v>110</v>
      </c>
      <c r="C309" s="86" t="s">
        <v>20</v>
      </c>
      <c r="D309" s="86" t="s">
        <v>468</v>
      </c>
      <c r="E309" s="86" t="s">
        <v>63</v>
      </c>
      <c r="F309" s="87">
        <v>1</v>
      </c>
      <c r="G309" s="88"/>
      <c r="H309" s="89">
        <v>0</v>
      </c>
      <c r="I309" s="88">
        <f>Ordini!$G309/(1+Ordini!$H309)</f>
        <v>0</v>
      </c>
      <c r="J309" s="88">
        <v>0</v>
      </c>
      <c r="K309" s="88"/>
      <c r="L309" s="88">
        <v>16.8</v>
      </c>
      <c r="M309" s="87" t="s">
        <v>24</v>
      </c>
      <c r="N309" s="87">
        <v>1</v>
      </c>
      <c r="O309" s="90">
        <f>Ordini!$K309+Ordini!$J309+Ordini!$L309</f>
        <v>16.8</v>
      </c>
      <c r="P309" s="90">
        <f>Ordini!$I309-Ordini!$O309</f>
        <v>-16.8</v>
      </c>
      <c r="Q309" s="87" t="str">
        <f>IF(Ordini!$P309&lt;0,"DA EVITARE","OK")</f>
        <v>DA EVITARE</v>
      </c>
      <c r="R309" s="87" t="s">
        <v>650</v>
      </c>
    </row>
    <row r="310" spans="1:18" s="62" customFormat="1" x14ac:dyDescent="0.25">
      <c r="A310" s="48">
        <v>46162</v>
      </c>
      <c r="B310" s="49" t="s">
        <v>109</v>
      </c>
      <c r="C310" s="49" t="s">
        <v>20</v>
      </c>
      <c r="D310" s="49" t="s">
        <v>469</v>
      </c>
      <c r="E310" s="49" t="s">
        <v>60</v>
      </c>
      <c r="F310" s="50">
        <v>1</v>
      </c>
      <c r="G310" s="52">
        <v>87.99</v>
      </c>
      <c r="H310" s="51">
        <v>0</v>
      </c>
      <c r="I310" s="52">
        <f>Ordini!$G310/(1+Ordini!$H310)</f>
        <v>87.99</v>
      </c>
      <c r="J310" s="52">
        <v>14.36</v>
      </c>
      <c r="K310" s="52">
        <v>39.76</v>
      </c>
      <c r="L310" s="52">
        <v>8.01</v>
      </c>
      <c r="M310" s="50" t="s">
        <v>22</v>
      </c>
      <c r="N310" s="50"/>
      <c r="O310" s="53">
        <f>Ordini!$K310+Ordini!$J310+Ordini!$L310</f>
        <v>62.129999999999995</v>
      </c>
      <c r="P310" s="53">
        <f>Ordini!$I310-Ordini!$O310</f>
        <v>25.86</v>
      </c>
      <c r="Q310" s="50" t="str">
        <f>IF(Ordini!$P310&lt;0,"DA EVITARE","OK")</f>
        <v>OK</v>
      </c>
      <c r="R310" s="50"/>
    </row>
    <row r="311" spans="1:18" s="55" customFormat="1" x14ac:dyDescent="0.25">
      <c r="A311" s="56">
        <v>46162</v>
      </c>
      <c r="B311" s="57" t="s">
        <v>109</v>
      </c>
      <c r="C311" s="57" t="s">
        <v>20</v>
      </c>
      <c r="D311" s="57" t="s">
        <v>470</v>
      </c>
      <c r="E311" s="57" t="s">
        <v>77</v>
      </c>
      <c r="F311" s="58">
        <v>1</v>
      </c>
      <c r="G311" s="60">
        <v>59.99</v>
      </c>
      <c r="H311" s="59">
        <v>0</v>
      </c>
      <c r="I311" s="60">
        <f>Ordini!$G311/(1+Ordini!$H311)</f>
        <v>59.99</v>
      </c>
      <c r="J311" s="60">
        <v>11.3</v>
      </c>
      <c r="K311" s="60">
        <v>26.82</v>
      </c>
      <c r="L311" s="60">
        <v>5.87</v>
      </c>
      <c r="M311" s="58" t="s">
        <v>22</v>
      </c>
      <c r="N311" s="58"/>
      <c r="O311" s="61">
        <f>Ordini!$K311+Ordini!$J311+Ordini!$L311</f>
        <v>43.99</v>
      </c>
      <c r="P311" s="61">
        <f>Ordini!$I311-Ordini!$O311</f>
        <v>16</v>
      </c>
      <c r="Q311" s="58" t="str">
        <f>IF(Ordini!$P311&lt;0,"DA EVITARE","OK")</f>
        <v>OK</v>
      </c>
      <c r="R311" s="58"/>
    </row>
    <row r="312" spans="1:18" s="62" customFormat="1" x14ac:dyDescent="0.25">
      <c r="A312" s="48">
        <v>46162</v>
      </c>
      <c r="B312" s="49" t="s">
        <v>109</v>
      </c>
      <c r="C312" s="49" t="s">
        <v>20</v>
      </c>
      <c r="D312" s="49" t="s">
        <v>471</v>
      </c>
      <c r="E312" s="49" t="s">
        <v>44</v>
      </c>
      <c r="F312" s="50">
        <v>1</v>
      </c>
      <c r="G312" s="52">
        <v>51.99</v>
      </c>
      <c r="H312" s="51">
        <v>0</v>
      </c>
      <c r="I312" s="52">
        <f>Ordini!$G312/(1+Ordini!$H312)</f>
        <v>51.99</v>
      </c>
      <c r="J312" s="52">
        <v>8.48</v>
      </c>
      <c r="K312" s="52">
        <v>20.970000000000002</v>
      </c>
      <c r="L312" s="52">
        <v>4.8499999999999996</v>
      </c>
      <c r="M312" s="50" t="s">
        <v>22</v>
      </c>
      <c r="N312" s="50"/>
      <c r="O312" s="53">
        <f>Ordini!$K312+Ordini!$J312+Ordini!$L312</f>
        <v>34.300000000000004</v>
      </c>
      <c r="P312" s="53">
        <f>Ordini!$I312-Ordini!$O312</f>
        <v>17.689999999999998</v>
      </c>
      <c r="Q312" s="50" t="str">
        <f>IF(Ordini!$P312&lt;0,"DA EVITARE","OK")</f>
        <v>OK</v>
      </c>
      <c r="R312" s="50"/>
    </row>
    <row r="313" spans="1:18" s="55" customFormat="1" x14ac:dyDescent="0.25">
      <c r="A313" s="56">
        <v>46162</v>
      </c>
      <c r="B313" s="57" t="s">
        <v>110</v>
      </c>
      <c r="C313" s="57" t="s">
        <v>20</v>
      </c>
      <c r="D313" s="57" t="s">
        <v>472</v>
      </c>
      <c r="E313" s="57" t="s">
        <v>63</v>
      </c>
      <c r="F313" s="58">
        <v>1</v>
      </c>
      <c r="G313" s="60">
        <v>85.81</v>
      </c>
      <c r="H313" s="59">
        <v>0</v>
      </c>
      <c r="I313" s="60">
        <f>Ordini!$G313/(1+Ordini!$H313)</f>
        <v>85.81</v>
      </c>
      <c r="J313" s="60">
        <v>0</v>
      </c>
      <c r="K313" s="60">
        <v>42.629999999999995</v>
      </c>
      <c r="L313" s="60">
        <v>8.4</v>
      </c>
      <c r="M313" s="58" t="s">
        <v>22</v>
      </c>
      <c r="N313" s="58"/>
      <c r="O313" s="61">
        <f>Ordini!$K313+Ordini!$J313+Ordini!$L313</f>
        <v>51.029999999999994</v>
      </c>
      <c r="P313" s="61">
        <f>Ordini!$I313-Ordini!$O313</f>
        <v>34.780000000000008</v>
      </c>
      <c r="Q313" s="58" t="str">
        <f>IF(Ordini!$P313&lt;0,"DA EVITARE","OK")</f>
        <v>OK</v>
      </c>
      <c r="R313" s="58"/>
    </row>
    <row r="314" spans="1:18" s="62" customFormat="1" x14ac:dyDescent="0.25">
      <c r="A314" s="48">
        <v>46162</v>
      </c>
      <c r="B314" s="49" t="s">
        <v>109</v>
      </c>
      <c r="C314" s="49" t="s">
        <v>20</v>
      </c>
      <c r="D314" s="49" t="s">
        <v>473</v>
      </c>
      <c r="E314" s="49" t="s">
        <v>63</v>
      </c>
      <c r="F314" s="50">
        <v>1</v>
      </c>
      <c r="G314" s="52">
        <v>99</v>
      </c>
      <c r="H314" s="51">
        <v>0</v>
      </c>
      <c r="I314" s="52">
        <f>Ordini!$G314/(1+Ordini!$H314)</f>
        <v>99</v>
      </c>
      <c r="J314" s="52">
        <v>18.649999999999999</v>
      </c>
      <c r="K314" s="52">
        <v>42.629999999999995</v>
      </c>
      <c r="L314" s="52">
        <v>8.4</v>
      </c>
      <c r="M314" s="50" t="s">
        <v>22</v>
      </c>
      <c r="N314" s="50"/>
      <c r="O314" s="53">
        <f>Ordini!$K314+Ordini!$J314+Ordini!$L314</f>
        <v>69.679999999999993</v>
      </c>
      <c r="P314" s="53">
        <f>Ordini!$I314-Ordini!$O314</f>
        <v>29.320000000000007</v>
      </c>
      <c r="Q314" s="50" t="str">
        <f>IF(Ordini!$P314&lt;0,"DA EVITARE","OK")</f>
        <v>OK</v>
      </c>
      <c r="R314" s="50"/>
    </row>
    <row r="315" spans="1:18" s="55" customFormat="1" x14ac:dyDescent="0.25">
      <c r="A315" s="56">
        <v>46162</v>
      </c>
      <c r="B315" s="57" t="s">
        <v>110</v>
      </c>
      <c r="C315" s="57" t="s">
        <v>20</v>
      </c>
      <c r="D315" s="57" t="s">
        <v>474</v>
      </c>
      <c r="E315" s="57" t="s">
        <v>410</v>
      </c>
      <c r="F315" s="58">
        <v>1</v>
      </c>
      <c r="G315" s="60">
        <v>123.18</v>
      </c>
      <c r="H315" s="59">
        <v>0</v>
      </c>
      <c r="I315" s="60">
        <f>Ordini!$G315/(1+Ordini!$H315)</f>
        <v>123.18</v>
      </c>
      <c r="J315" s="60">
        <v>0</v>
      </c>
      <c r="K315" s="60">
        <v>64.8</v>
      </c>
      <c r="L315" s="60">
        <v>10.247999999999999</v>
      </c>
      <c r="M315" s="58" t="s">
        <v>22</v>
      </c>
      <c r="N315" s="58"/>
      <c r="O315" s="61">
        <f>Ordini!$K315+Ordini!$J315+Ordini!$L315</f>
        <v>75.048000000000002</v>
      </c>
      <c r="P315" s="61">
        <f>Ordini!$I315-Ordini!$O315</f>
        <v>48.132000000000005</v>
      </c>
      <c r="Q315" s="58" t="str">
        <f>IF(Ordini!$P315&lt;0,"DA EVITARE","OK")</f>
        <v>OK</v>
      </c>
      <c r="R315" s="58"/>
    </row>
    <row r="316" spans="1:18" s="62" customFormat="1" x14ac:dyDescent="0.25">
      <c r="A316" s="48">
        <v>46162</v>
      </c>
      <c r="B316" s="49" t="s">
        <v>110</v>
      </c>
      <c r="C316" s="49" t="s">
        <v>20</v>
      </c>
      <c r="D316" s="49" t="s">
        <v>475</v>
      </c>
      <c r="E316" s="49" t="s">
        <v>345</v>
      </c>
      <c r="F316" s="50">
        <v>1</v>
      </c>
      <c r="G316" s="52">
        <v>11.1</v>
      </c>
      <c r="H316" s="51">
        <v>0</v>
      </c>
      <c r="I316" s="52">
        <f>Ordini!$G316/(1+Ordini!$H316)</f>
        <v>11.1</v>
      </c>
      <c r="J316" s="52">
        <v>0</v>
      </c>
      <c r="K316" s="52">
        <v>2.14</v>
      </c>
      <c r="L316" s="52">
        <v>4.3600000000000003</v>
      </c>
      <c r="M316" s="50" t="s">
        <v>22</v>
      </c>
      <c r="N316" s="50"/>
      <c r="O316" s="53">
        <f>Ordini!$K316+Ordini!$J316+Ordini!$L316</f>
        <v>6.5</v>
      </c>
      <c r="P316" s="53">
        <f>Ordini!$I316-Ordini!$O316</f>
        <v>4.5999999999999996</v>
      </c>
      <c r="Q316" s="50" t="str">
        <f>IF(Ordini!$P316&lt;0,"DA EVITARE","OK")</f>
        <v>OK</v>
      </c>
      <c r="R316" s="50"/>
    </row>
    <row r="317" spans="1:18" s="55" customFormat="1" x14ac:dyDescent="0.25">
      <c r="A317" s="56">
        <v>46162</v>
      </c>
      <c r="B317" s="57" t="s">
        <v>111</v>
      </c>
      <c r="C317" s="57" t="s">
        <v>20</v>
      </c>
      <c r="D317" s="57" t="s">
        <v>522</v>
      </c>
      <c r="E317" s="57" t="s">
        <v>73</v>
      </c>
      <c r="F317" s="58">
        <v>1</v>
      </c>
      <c r="G317" s="60">
        <v>35</v>
      </c>
      <c r="H317" s="59">
        <v>0</v>
      </c>
      <c r="I317" s="60">
        <f>Ordini!$G317/(1+Ordini!$H317)</f>
        <v>35</v>
      </c>
      <c r="J317" s="60">
        <v>0</v>
      </c>
      <c r="K317" s="60">
        <v>14.47</v>
      </c>
      <c r="L317" s="60">
        <v>7.1</v>
      </c>
      <c r="M317" s="58" t="s">
        <v>22</v>
      </c>
      <c r="N317" s="58"/>
      <c r="O317" s="61">
        <f>Ordini!$K317+Ordini!$J317+Ordini!$L317</f>
        <v>21.57</v>
      </c>
      <c r="P317" s="61">
        <f>Ordini!$I317-Ordini!$O317</f>
        <v>13.43</v>
      </c>
      <c r="Q317" s="58" t="str">
        <f>IF(Ordini!$P317&lt;0,"DA EVITARE","OK")</f>
        <v>OK</v>
      </c>
      <c r="R317" s="58"/>
    </row>
    <row r="318" spans="1:18" s="62" customFormat="1" x14ac:dyDescent="0.25">
      <c r="A318" s="48">
        <v>46163</v>
      </c>
      <c r="B318" s="49" t="s">
        <v>110</v>
      </c>
      <c r="C318" s="49" t="s">
        <v>20</v>
      </c>
      <c r="D318" s="49" t="s">
        <v>476</v>
      </c>
      <c r="E318" s="49" t="s">
        <v>413</v>
      </c>
      <c r="F318" s="50">
        <v>1</v>
      </c>
      <c r="G318" s="52">
        <v>17.920000000000002</v>
      </c>
      <c r="H318" s="51">
        <v>0</v>
      </c>
      <c r="I318" s="52">
        <f>Ordini!$G318/(1+Ordini!$H318)</f>
        <v>17.920000000000002</v>
      </c>
      <c r="J318" s="52">
        <v>0</v>
      </c>
      <c r="K318" s="52">
        <v>8.43</v>
      </c>
      <c r="L318" s="52">
        <v>4.7699999999999996</v>
      </c>
      <c r="M318" s="50" t="s">
        <v>22</v>
      </c>
      <c r="N318" s="50"/>
      <c r="O318" s="53">
        <f>Ordini!$K318+Ordini!$J318+Ordini!$L318</f>
        <v>13.2</v>
      </c>
      <c r="P318" s="53">
        <f>Ordini!$I318-Ordini!$O318</f>
        <v>4.7200000000000024</v>
      </c>
      <c r="Q318" s="50" t="str">
        <f>IF(Ordini!$P318&lt;0,"DA EVITARE","OK")</f>
        <v>OK</v>
      </c>
      <c r="R318" s="50"/>
    </row>
    <row r="319" spans="1:18" s="55" customFormat="1" x14ac:dyDescent="0.25">
      <c r="A319" s="56">
        <v>46163</v>
      </c>
      <c r="B319" s="57" t="s">
        <v>110</v>
      </c>
      <c r="C319" s="57" t="s">
        <v>20</v>
      </c>
      <c r="D319" s="57" t="s">
        <v>477</v>
      </c>
      <c r="E319" s="57" t="s">
        <v>410</v>
      </c>
      <c r="F319" s="58">
        <v>1</v>
      </c>
      <c r="G319" s="60">
        <v>123.18</v>
      </c>
      <c r="H319" s="59">
        <v>0</v>
      </c>
      <c r="I319" s="60">
        <f>Ordini!$G319/(1+Ordini!$H319)</f>
        <v>123.18</v>
      </c>
      <c r="J319" s="60">
        <v>0</v>
      </c>
      <c r="K319" s="60">
        <v>64.8</v>
      </c>
      <c r="L319" s="60">
        <v>10.247999999999999</v>
      </c>
      <c r="M319" s="58" t="s">
        <v>22</v>
      </c>
      <c r="N319" s="58"/>
      <c r="O319" s="61">
        <f>Ordini!$K319+Ordini!$J319+Ordini!$L319</f>
        <v>75.048000000000002</v>
      </c>
      <c r="P319" s="61">
        <f>Ordini!$I319-Ordini!$O319</f>
        <v>48.132000000000005</v>
      </c>
      <c r="Q319" s="58" t="str">
        <f>IF(Ordini!$P319&lt;0,"DA EVITARE","OK")</f>
        <v>OK</v>
      </c>
      <c r="R319" s="58"/>
    </row>
    <row r="320" spans="1:18" s="62" customFormat="1" x14ac:dyDescent="0.25">
      <c r="A320" s="48">
        <v>46163</v>
      </c>
      <c r="B320" s="49" t="s">
        <v>110</v>
      </c>
      <c r="C320" s="49" t="s">
        <v>20</v>
      </c>
      <c r="D320" s="49" t="s">
        <v>478</v>
      </c>
      <c r="E320" s="49" t="s">
        <v>50</v>
      </c>
      <c r="F320" s="50">
        <v>1</v>
      </c>
      <c r="G320" s="52">
        <v>15.73</v>
      </c>
      <c r="H320" s="51">
        <v>0</v>
      </c>
      <c r="I320" s="52">
        <f>Ordini!$G320/(1+Ordini!$H320)</f>
        <v>15.73</v>
      </c>
      <c r="J320" s="52">
        <v>0</v>
      </c>
      <c r="K320" s="52">
        <v>6.41</v>
      </c>
      <c r="L320" s="52">
        <v>4.7699999999999996</v>
      </c>
      <c r="M320" s="50" t="s">
        <v>22</v>
      </c>
      <c r="N320" s="50"/>
      <c r="O320" s="53">
        <f>Ordini!$K320+Ordini!$J320+Ordini!$L320</f>
        <v>11.18</v>
      </c>
      <c r="P320" s="53">
        <f>Ordini!$I320-Ordini!$O320</f>
        <v>4.5500000000000007</v>
      </c>
      <c r="Q320" s="50" t="str">
        <f>IF(Ordini!$P320&lt;0,"DA EVITARE","OK")</f>
        <v>OK</v>
      </c>
      <c r="R320" s="50"/>
    </row>
    <row r="321" spans="1:18" s="55" customFormat="1" x14ac:dyDescent="0.25">
      <c r="A321" s="56">
        <v>46163</v>
      </c>
      <c r="B321" s="57" t="s">
        <v>110</v>
      </c>
      <c r="C321" s="57" t="s">
        <v>20</v>
      </c>
      <c r="D321" s="57" t="s">
        <v>479</v>
      </c>
      <c r="E321" s="57" t="s">
        <v>410</v>
      </c>
      <c r="F321" s="58">
        <v>1</v>
      </c>
      <c r="G321" s="60">
        <v>121.08</v>
      </c>
      <c r="H321" s="59">
        <v>0</v>
      </c>
      <c r="I321" s="60">
        <f>Ordini!$G321/(1+Ordini!$H321)</f>
        <v>121.08</v>
      </c>
      <c r="J321" s="60">
        <v>0</v>
      </c>
      <c r="K321" s="60">
        <v>64.8</v>
      </c>
      <c r="L321" s="60">
        <v>10.247999999999999</v>
      </c>
      <c r="M321" s="58" t="s">
        <v>22</v>
      </c>
      <c r="N321" s="58"/>
      <c r="O321" s="61">
        <f>Ordini!$K321+Ordini!$J321+Ordini!$L321</f>
        <v>75.048000000000002</v>
      </c>
      <c r="P321" s="61">
        <f>Ordini!$I321-Ordini!$O321</f>
        <v>46.031999999999996</v>
      </c>
      <c r="Q321" s="58" t="str">
        <f>IF(Ordini!$P321&lt;0,"DA EVITARE","OK")</f>
        <v>OK</v>
      </c>
      <c r="R321" s="58"/>
    </row>
    <row r="322" spans="1:18" s="62" customFormat="1" x14ac:dyDescent="0.25">
      <c r="A322" s="48">
        <v>46163</v>
      </c>
      <c r="B322" s="49" t="s">
        <v>109</v>
      </c>
      <c r="C322" s="49" t="s">
        <v>20</v>
      </c>
      <c r="D322" s="49" t="s">
        <v>480</v>
      </c>
      <c r="E322" s="49" t="s">
        <v>508</v>
      </c>
      <c r="F322" s="50">
        <v>1</v>
      </c>
      <c r="G322" s="52">
        <v>76.5</v>
      </c>
      <c r="H322" s="51">
        <v>0</v>
      </c>
      <c r="I322" s="52">
        <f>Ordini!$G322/(1+Ordini!$H322)</f>
        <v>76.5</v>
      </c>
      <c r="J322" s="52">
        <v>14.43</v>
      </c>
      <c r="K322" s="52">
        <v>49.629599999999996</v>
      </c>
      <c r="L322" s="52">
        <v>4.7699999999999996</v>
      </c>
      <c r="M322" s="50" t="s">
        <v>22</v>
      </c>
      <c r="N322" s="50"/>
      <c r="O322" s="53">
        <f>Ordini!$K322+Ordini!$J322+Ordini!$L322</f>
        <v>68.829599999999985</v>
      </c>
      <c r="P322" s="53">
        <f>Ordini!$I322-Ordini!$O322</f>
        <v>7.670400000000015</v>
      </c>
      <c r="Q322" s="50" t="str">
        <f>IF(Ordini!$P322&lt;0,"DA EVITARE","OK")</f>
        <v>OK</v>
      </c>
      <c r="R322" s="50"/>
    </row>
    <row r="323" spans="1:18" s="55" customFormat="1" x14ac:dyDescent="0.25">
      <c r="A323" s="56">
        <v>46164</v>
      </c>
      <c r="B323" s="57" t="s">
        <v>111</v>
      </c>
      <c r="C323" s="57" t="s">
        <v>20</v>
      </c>
      <c r="D323" s="57" t="s">
        <v>523</v>
      </c>
      <c r="E323" s="57" t="s">
        <v>77</v>
      </c>
      <c r="F323" s="58">
        <v>1</v>
      </c>
      <c r="G323" s="60">
        <v>59.99</v>
      </c>
      <c r="H323" s="59">
        <v>0</v>
      </c>
      <c r="I323" s="60">
        <f>Ordini!$G323/(1+Ordini!$H323)</f>
        <v>59.99</v>
      </c>
      <c r="J323" s="60">
        <v>5.66</v>
      </c>
      <c r="K323" s="60">
        <v>26.82</v>
      </c>
      <c r="L323" s="60">
        <v>5.87</v>
      </c>
      <c r="M323" s="58" t="s">
        <v>22</v>
      </c>
      <c r="N323" s="58"/>
      <c r="O323" s="61">
        <f>Ordini!$K323+Ordini!$J323+Ordini!$L323</f>
        <v>38.35</v>
      </c>
      <c r="P323" s="61">
        <f>Ordini!$I323-Ordini!$O323</f>
        <v>21.64</v>
      </c>
      <c r="Q323" s="58" t="str">
        <f>IF(Ordini!$P323&lt;0,"DA EVITARE","OK")</f>
        <v>OK</v>
      </c>
      <c r="R323" s="58"/>
    </row>
    <row r="324" spans="1:18" s="62" customFormat="1" x14ac:dyDescent="0.25">
      <c r="A324" s="48">
        <v>46164</v>
      </c>
      <c r="B324" s="49" t="s">
        <v>110</v>
      </c>
      <c r="C324" s="49" t="s">
        <v>20</v>
      </c>
      <c r="D324" s="49" t="s">
        <v>481</v>
      </c>
      <c r="E324" s="49" t="s">
        <v>68</v>
      </c>
      <c r="F324" s="50">
        <v>1</v>
      </c>
      <c r="G324" s="52">
        <v>22.96</v>
      </c>
      <c r="H324" s="51">
        <v>0</v>
      </c>
      <c r="I324" s="52">
        <f>Ordini!$G324/(1+Ordini!$H324)</f>
        <v>22.96</v>
      </c>
      <c r="J324" s="52">
        <v>0</v>
      </c>
      <c r="K324" s="52">
        <v>15.31</v>
      </c>
      <c r="L324" s="52">
        <v>5.87</v>
      </c>
      <c r="M324" s="50" t="s">
        <v>34</v>
      </c>
      <c r="N324" s="50"/>
      <c r="O324" s="53">
        <f>Ordini!$K324+Ordini!$J324+Ordini!$L324</f>
        <v>21.18</v>
      </c>
      <c r="P324" s="53">
        <f>Ordini!$I324-Ordini!$O324</f>
        <v>1.7800000000000011</v>
      </c>
      <c r="Q324" s="50" t="str">
        <f>IF(Ordini!$P324&lt;0,"DA EVITARE","OK")</f>
        <v>OK</v>
      </c>
      <c r="R324" s="50"/>
    </row>
    <row r="325" spans="1:18" s="55" customFormat="1" x14ac:dyDescent="0.25">
      <c r="A325" s="56">
        <v>46164</v>
      </c>
      <c r="B325" s="57" t="s">
        <v>110</v>
      </c>
      <c r="C325" s="57" t="s">
        <v>20</v>
      </c>
      <c r="D325" s="57" t="s">
        <v>482</v>
      </c>
      <c r="E325" s="57" t="s">
        <v>50</v>
      </c>
      <c r="F325" s="58">
        <v>1</v>
      </c>
      <c r="G325" s="60">
        <v>15.23</v>
      </c>
      <c r="H325" s="59">
        <v>0</v>
      </c>
      <c r="I325" s="60">
        <f>Ordini!$G325/(1+Ordini!$H325)</f>
        <v>15.23</v>
      </c>
      <c r="J325" s="60">
        <v>0</v>
      </c>
      <c r="K325" s="60">
        <v>6.41</v>
      </c>
      <c r="L325" s="60">
        <v>4.7699999999999996</v>
      </c>
      <c r="M325" s="58" t="s">
        <v>22</v>
      </c>
      <c r="N325" s="58"/>
      <c r="O325" s="61">
        <f>Ordini!$K325+Ordini!$J325+Ordini!$L325</f>
        <v>11.18</v>
      </c>
      <c r="P325" s="61">
        <f>Ordini!$I325-Ordini!$O325</f>
        <v>4.0500000000000007</v>
      </c>
      <c r="Q325" s="58" t="str">
        <f>IF(Ordini!$P325&lt;0,"DA EVITARE","OK")</f>
        <v>OK</v>
      </c>
      <c r="R325" s="58"/>
    </row>
    <row r="326" spans="1:18" s="62" customFormat="1" x14ac:dyDescent="0.25">
      <c r="A326" s="48">
        <v>46164</v>
      </c>
      <c r="B326" s="49" t="s">
        <v>110</v>
      </c>
      <c r="C326" s="49" t="s">
        <v>20</v>
      </c>
      <c r="D326" s="49" t="s">
        <v>483</v>
      </c>
      <c r="E326" s="49" t="s">
        <v>50</v>
      </c>
      <c r="F326" s="50">
        <v>1</v>
      </c>
      <c r="G326" s="52">
        <v>15.73</v>
      </c>
      <c r="H326" s="51">
        <v>0</v>
      </c>
      <c r="I326" s="52">
        <f>Ordini!$G326/(1+Ordini!$H326)</f>
        <v>15.73</v>
      </c>
      <c r="J326" s="52">
        <v>0</v>
      </c>
      <c r="K326" s="52">
        <v>6.41</v>
      </c>
      <c r="L326" s="52">
        <v>4.7699999999999996</v>
      </c>
      <c r="M326" s="50" t="s">
        <v>22</v>
      </c>
      <c r="N326" s="50"/>
      <c r="O326" s="53">
        <f>Ordini!$K326+Ordini!$J326+Ordini!$L326</f>
        <v>11.18</v>
      </c>
      <c r="P326" s="53">
        <f>Ordini!$I326-Ordini!$O326</f>
        <v>4.5500000000000007</v>
      </c>
      <c r="Q326" s="50" t="str">
        <f>IF(Ordini!$P326&lt;0,"DA EVITARE","OK")</f>
        <v>OK</v>
      </c>
      <c r="R326" s="50"/>
    </row>
    <row r="327" spans="1:18" s="55" customFormat="1" x14ac:dyDescent="0.25">
      <c r="A327" s="56">
        <v>46164</v>
      </c>
      <c r="B327" s="57" t="s">
        <v>110</v>
      </c>
      <c r="C327" s="57" t="s">
        <v>20</v>
      </c>
      <c r="D327" s="57" t="s">
        <v>484</v>
      </c>
      <c r="E327" s="57" t="s">
        <v>413</v>
      </c>
      <c r="F327" s="58">
        <v>1</v>
      </c>
      <c r="G327" s="60">
        <v>17.920000000000002</v>
      </c>
      <c r="H327" s="59">
        <v>0</v>
      </c>
      <c r="I327" s="60">
        <f>Ordini!$G327/(1+Ordini!$H327)</f>
        <v>17.920000000000002</v>
      </c>
      <c r="J327" s="60">
        <v>0</v>
      </c>
      <c r="K327" s="60">
        <v>8.43</v>
      </c>
      <c r="L327" s="60">
        <v>4.7699999999999996</v>
      </c>
      <c r="M327" s="58" t="s">
        <v>22</v>
      </c>
      <c r="N327" s="58"/>
      <c r="O327" s="61">
        <f>Ordini!$K327+Ordini!$J327+Ordini!$L327</f>
        <v>13.2</v>
      </c>
      <c r="P327" s="61">
        <f>Ordini!$I327-Ordini!$O327</f>
        <v>4.7200000000000024</v>
      </c>
      <c r="Q327" s="58" t="str">
        <f>IF(Ordini!$P327&lt;0,"DA EVITARE","OK")</f>
        <v>OK</v>
      </c>
      <c r="R327" s="58"/>
    </row>
    <row r="328" spans="1:18" s="62" customFormat="1" x14ac:dyDescent="0.25">
      <c r="A328" s="48">
        <v>46164</v>
      </c>
      <c r="B328" s="49" t="s">
        <v>110</v>
      </c>
      <c r="C328" s="49" t="s">
        <v>20</v>
      </c>
      <c r="D328" s="49" t="s">
        <v>485</v>
      </c>
      <c r="E328" s="49" t="s">
        <v>54</v>
      </c>
      <c r="F328" s="50">
        <v>1</v>
      </c>
      <c r="G328" s="52">
        <v>22.47</v>
      </c>
      <c r="H328" s="51">
        <v>0</v>
      </c>
      <c r="I328" s="52">
        <f>Ordini!$G328/(1+Ordini!$H328)</f>
        <v>22.47</v>
      </c>
      <c r="J328" s="52">
        <v>0</v>
      </c>
      <c r="K328" s="52">
        <v>10.440000000000001</v>
      </c>
      <c r="L328" s="52">
        <v>4.7699999999999996</v>
      </c>
      <c r="M328" s="50" t="s">
        <v>22</v>
      </c>
      <c r="N328" s="50"/>
      <c r="O328" s="53">
        <f>Ordini!$K328+Ordini!$J328+Ordini!$L328</f>
        <v>15.21</v>
      </c>
      <c r="P328" s="53">
        <f>Ordini!$I328-Ordini!$O328</f>
        <v>7.259999999999998</v>
      </c>
      <c r="Q328" s="50" t="str">
        <f>IF(Ordini!$P328&lt;0,"DA EVITARE","OK")</f>
        <v>OK</v>
      </c>
      <c r="R328" s="50"/>
    </row>
    <row r="329" spans="1:18" s="55" customFormat="1" x14ac:dyDescent="0.25">
      <c r="A329" s="56">
        <v>46164</v>
      </c>
      <c r="B329" s="57" t="s">
        <v>110</v>
      </c>
      <c r="C329" s="57" t="s">
        <v>20</v>
      </c>
      <c r="D329" s="57" t="s">
        <v>486</v>
      </c>
      <c r="E329" s="57" t="s">
        <v>413</v>
      </c>
      <c r="F329" s="58">
        <v>3</v>
      </c>
      <c r="G329" s="60">
        <v>44.79</v>
      </c>
      <c r="H329" s="59">
        <v>0</v>
      </c>
      <c r="I329" s="60">
        <f>Ordini!$G329/(1+Ordini!$H329)</f>
        <v>44.79</v>
      </c>
      <c r="J329" s="60">
        <v>0</v>
      </c>
      <c r="K329" s="60">
        <v>25.29</v>
      </c>
      <c r="L329" s="60">
        <v>4.7699999999999996</v>
      </c>
      <c r="M329" s="58" t="s">
        <v>22</v>
      </c>
      <c r="N329" s="58"/>
      <c r="O329" s="61">
        <f>Ordini!$K329+Ordini!$J329+Ordini!$L329</f>
        <v>30.06</v>
      </c>
      <c r="P329" s="61">
        <f>Ordini!$I329-Ordini!$O329</f>
        <v>14.73</v>
      </c>
      <c r="Q329" s="58" t="str">
        <f>IF(Ordini!$P329&lt;0,"DA EVITARE","OK")</f>
        <v>OK</v>
      </c>
      <c r="R329" s="58"/>
    </row>
    <row r="330" spans="1:18" s="62" customFormat="1" x14ac:dyDescent="0.25">
      <c r="A330" s="48">
        <v>46164</v>
      </c>
      <c r="B330" s="49" t="s">
        <v>110</v>
      </c>
      <c r="C330" s="49" t="s">
        <v>20</v>
      </c>
      <c r="D330" s="49" t="s">
        <v>487</v>
      </c>
      <c r="E330" s="49" t="s">
        <v>410</v>
      </c>
      <c r="F330" s="50">
        <v>1</v>
      </c>
      <c r="G330" s="52">
        <v>123.18</v>
      </c>
      <c r="H330" s="51">
        <v>0</v>
      </c>
      <c r="I330" s="52">
        <f>Ordini!$G330/(1+Ordini!$H330)</f>
        <v>123.18</v>
      </c>
      <c r="J330" s="52">
        <v>0</v>
      </c>
      <c r="K330" s="52">
        <v>64.8</v>
      </c>
      <c r="L330" s="52">
        <v>10.247999999999999</v>
      </c>
      <c r="M330" s="50" t="s">
        <v>22</v>
      </c>
      <c r="N330" s="50"/>
      <c r="O330" s="53">
        <f>Ordini!$K330+Ordini!$J330+Ordini!$L330</f>
        <v>75.048000000000002</v>
      </c>
      <c r="P330" s="53">
        <f>Ordini!$I330-Ordini!$O330</f>
        <v>48.132000000000005</v>
      </c>
      <c r="Q330" s="50" t="str">
        <f>IF(Ordini!$P330&lt;0,"DA EVITARE","OK")</f>
        <v>OK</v>
      </c>
      <c r="R330" s="50"/>
    </row>
    <row r="331" spans="1:18" s="55" customFormat="1" x14ac:dyDescent="0.25">
      <c r="A331" s="56">
        <v>46164</v>
      </c>
      <c r="B331" s="57" t="s">
        <v>110</v>
      </c>
      <c r="C331" s="57" t="s">
        <v>20</v>
      </c>
      <c r="D331" s="57" t="s">
        <v>488</v>
      </c>
      <c r="E331" s="57" t="s">
        <v>412</v>
      </c>
      <c r="F331" s="58">
        <v>1</v>
      </c>
      <c r="G331" s="60">
        <v>28.57</v>
      </c>
      <c r="H331" s="59">
        <v>0</v>
      </c>
      <c r="I331" s="60">
        <f>Ordini!$G331/(1+Ordini!$H331)</f>
        <v>28.57</v>
      </c>
      <c r="J331" s="60">
        <v>0</v>
      </c>
      <c r="K331" s="60">
        <v>15.31</v>
      </c>
      <c r="L331" s="60">
        <v>5.87</v>
      </c>
      <c r="M331" s="58" t="s">
        <v>22</v>
      </c>
      <c r="N331" s="58"/>
      <c r="O331" s="61">
        <f>Ordini!$K331+Ordini!$J331+Ordini!$L331</f>
        <v>21.18</v>
      </c>
      <c r="P331" s="61">
        <f>Ordini!$I331-Ordini!$O331</f>
        <v>7.3900000000000006</v>
      </c>
      <c r="Q331" s="58" t="str">
        <f>IF(Ordini!$P331&lt;0,"DA EVITARE","OK")</f>
        <v>OK</v>
      </c>
      <c r="R331" s="58"/>
    </row>
    <row r="332" spans="1:18" s="62" customFormat="1" x14ac:dyDescent="0.25">
      <c r="A332" s="48">
        <v>46164</v>
      </c>
      <c r="B332" s="49" t="s">
        <v>110</v>
      </c>
      <c r="C332" s="49" t="s">
        <v>20</v>
      </c>
      <c r="D332" s="49" t="s">
        <v>489</v>
      </c>
      <c r="E332" s="49" t="s">
        <v>50</v>
      </c>
      <c r="F332" s="50">
        <v>1</v>
      </c>
      <c r="G332" s="52">
        <v>15.73</v>
      </c>
      <c r="H332" s="51">
        <v>0</v>
      </c>
      <c r="I332" s="52">
        <f>Ordini!$G332/(1+Ordini!$H332)</f>
        <v>15.73</v>
      </c>
      <c r="J332" s="52">
        <v>0</v>
      </c>
      <c r="K332" s="52">
        <v>6.41</v>
      </c>
      <c r="L332" s="52">
        <v>4.7699999999999996</v>
      </c>
      <c r="M332" s="50" t="s">
        <v>22</v>
      </c>
      <c r="N332" s="50"/>
      <c r="O332" s="53">
        <f>Ordini!$K332+Ordini!$J332+Ordini!$L332</f>
        <v>11.18</v>
      </c>
      <c r="P332" s="53">
        <f>Ordini!$I332-Ordini!$O332</f>
        <v>4.5500000000000007</v>
      </c>
      <c r="Q332" s="50" t="str">
        <f>IF(Ordini!$P332&lt;0,"DA EVITARE","OK")</f>
        <v>OK</v>
      </c>
      <c r="R332" s="50"/>
    </row>
    <row r="333" spans="1:18" s="55" customFormat="1" x14ac:dyDescent="0.25">
      <c r="A333" s="56">
        <v>46164</v>
      </c>
      <c r="B333" s="57" t="s">
        <v>110</v>
      </c>
      <c r="C333" s="57" t="s">
        <v>20</v>
      </c>
      <c r="D333" s="57" t="s">
        <v>490</v>
      </c>
      <c r="E333" s="57" t="s">
        <v>413</v>
      </c>
      <c r="F333" s="58">
        <v>1</v>
      </c>
      <c r="G333" s="60">
        <v>17.920000000000002</v>
      </c>
      <c r="H333" s="59">
        <v>0</v>
      </c>
      <c r="I333" s="60">
        <f>Ordini!$G333/(1+Ordini!$H333)</f>
        <v>17.920000000000002</v>
      </c>
      <c r="J333" s="60">
        <v>0</v>
      </c>
      <c r="K333" s="60">
        <v>8.43</v>
      </c>
      <c r="L333" s="60">
        <v>4.7699999999999996</v>
      </c>
      <c r="M333" s="58" t="s">
        <v>22</v>
      </c>
      <c r="N333" s="58"/>
      <c r="O333" s="61">
        <f>Ordini!$K333+Ordini!$J333+Ordini!$L333</f>
        <v>13.2</v>
      </c>
      <c r="P333" s="61">
        <f>Ordini!$I333-Ordini!$O333</f>
        <v>4.7200000000000024</v>
      </c>
      <c r="Q333" s="58" t="str">
        <f>IF(Ordini!$P333&lt;0,"DA EVITARE","OK")</f>
        <v>OK</v>
      </c>
      <c r="R333" s="58"/>
    </row>
    <row r="334" spans="1:18" s="62" customFormat="1" x14ac:dyDescent="0.25">
      <c r="A334" s="48">
        <v>46164</v>
      </c>
      <c r="B334" s="49" t="s">
        <v>109</v>
      </c>
      <c r="C334" s="49" t="s">
        <v>20</v>
      </c>
      <c r="D334" s="49" t="s">
        <v>491</v>
      </c>
      <c r="E334" s="49" t="s">
        <v>410</v>
      </c>
      <c r="F334" s="50">
        <v>1</v>
      </c>
      <c r="G334" s="52">
        <v>149.99</v>
      </c>
      <c r="H334" s="51">
        <v>0</v>
      </c>
      <c r="I334" s="52">
        <f>Ordini!$G334/(1+Ordini!$H334)</f>
        <v>149.99</v>
      </c>
      <c r="J334" s="52">
        <v>28.28</v>
      </c>
      <c r="K334" s="52">
        <v>64.8</v>
      </c>
      <c r="L334" s="52">
        <v>10.247999999999999</v>
      </c>
      <c r="M334" s="50" t="s">
        <v>22</v>
      </c>
      <c r="N334" s="50"/>
      <c r="O334" s="53">
        <f>Ordini!$K334+Ordini!$J334+Ordini!$L334</f>
        <v>103.328</v>
      </c>
      <c r="P334" s="53">
        <f>Ordini!$I334-Ordini!$O334</f>
        <v>46.662000000000006</v>
      </c>
      <c r="Q334" s="50" t="str">
        <f>IF(Ordini!$P334&lt;0,"DA EVITARE","OK")</f>
        <v>OK</v>
      </c>
      <c r="R334" s="50"/>
    </row>
    <row r="335" spans="1:18" s="55" customFormat="1" x14ac:dyDescent="0.25">
      <c r="A335" s="56">
        <v>46164</v>
      </c>
      <c r="B335" s="57" t="s">
        <v>109</v>
      </c>
      <c r="C335" s="57" t="s">
        <v>20</v>
      </c>
      <c r="D335" s="57" t="s">
        <v>492</v>
      </c>
      <c r="E335" s="57" t="s">
        <v>63</v>
      </c>
      <c r="F335" s="58">
        <v>1</v>
      </c>
      <c r="G335" s="60">
        <v>99</v>
      </c>
      <c r="H335" s="59">
        <v>0</v>
      </c>
      <c r="I335" s="60">
        <f>Ordini!$G335/(1+Ordini!$H335)</f>
        <v>99</v>
      </c>
      <c r="J335" s="60">
        <v>18.670000000000002</v>
      </c>
      <c r="K335" s="60">
        <v>42.629999999999995</v>
      </c>
      <c r="L335" s="60">
        <v>25.200000000000003</v>
      </c>
      <c r="M335" s="58" t="s">
        <v>22</v>
      </c>
      <c r="N335" s="58"/>
      <c r="O335" s="61">
        <f>Ordini!$K335+Ordini!$J335+Ordini!$L335</f>
        <v>86.5</v>
      </c>
      <c r="P335" s="61">
        <f>Ordini!$I335-Ordini!$O335</f>
        <v>12.5</v>
      </c>
      <c r="Q335" s="58" t="str">
        <f>IF(Ordini!$P335&lt;0,"DA EVITARE","OK")</f>
        <v>OK</v>
      </c>
      <c r="R335" s="58" t="s">
        <v>651</v>
      </c>
    </row>
    <row r="336" spans="1:18" s="62" customFormat="1" x14ac:dyDescent="0.25">
      <c r="A336" s="48">
        <v>46164</v>
      </c>
      <c r="B336" s="49" t="s">
        <v>110</v>
      </c>
      <c r="C336" s="49" t="s">
        <v>20</v>
      </c>
      <c r="D336" s="49" t="s">
        <v>493</v>
      </c>
      <c r="E336" s="49" t="s">
        <v>413</v>
      </c>
      <c r="F336" s="50">
        <v>1</v>
      </c>
      <c r="G336" s="52">
        <v>17.920000000000002</v>
      </c>
      <c r="H336" s="51">
        <v>0</v>
      </c>
      <c r="I336" s="52">
        <f>Ordini!$G336/(1+Ordini!$H336)</f>
        <v>17.920000000000002</v>
      </c>
      <c r="J336" s="52">
        <v>0</v>
      </c>
      <c r="K336" s="52">
        <v>8.43</v>
      </c>
      <c r="L336" s="52">
        <v>4.7699999999999996</v>
      </c>
      <c r="M336" s="50" t="s">
        <v>22</v>
      </c>
      <c r="N336" s="50"/>
      <c r="O336" s="53">
        <f>Ordini!$K336+Ordini!$J336+Ordini!$L336</f>
        <v>13.2</v>
      </c>
      <c r="P336" s="53">
        <f>Ordini!$I336-Ordini!$O336</f>
        <v>4.7200000000000024</v>
      </c>
      <c r="Q336" s="50" t="str">
        <f>IF(Ordini!$P336&lt;0,"DA EVITARE","OK")</f>
        <v>OK</v>
      </c>
      <c r="R336" s="50"/>
    </row>
    <row r="337" spans="1:18" s="55" customFormat="1" x14ac:dyDescent="0.25">
      <c r="A337" s="56">
        <v>46165</v>
      </c>
      <c r="B337" s="57" t="s">
        <v>365</v>
      </c>
      <c r="C337" s="57" t="s">
        <v>20</v>
      </c>
      <c r="D337" s="57" t="s">
        <v>617</v>
      </c>
      <c r="E337" s="57" t="s">
        <v>618</v>
      </c>
      <c r="F337" s="58">
        <v>3</v>
      </c>
      <c r="G337" s="60">
        <v>377.22</v>
      </c>
      <c r="H337" s="59">
        <v>0</v>
      </c>
      <c r="I337" s="60">
        <f>Ordini!$G337/(1+Ordini!$H337)</f>
        <v>377.22</v>
      </c>
      <c r="J337" s="60">
        <v>52.8</v>
      </c>
      <c r="K337" s="60">
        <v>227.21280000000002</v>
      </c>
      <c r="L337" s="60">
        <v>0</v>
      </c>
      <c r="M337" s="58" t="s">
        <v>34</v>
      </c>
      <c r="N337" s="58"/>
      <c r="O337" s="61">
        <f>Ordini!$K337+Ordini!$J337+Ordini!$L337</f>
        <v>280.01280000000003</v>
      </c>
      <c r="P337" s="61">
        <f>Ordini!$I337-Ordini!$O337</f>
        <v>97.2072</v>
      </c>
      <c r="Q337" s="58" t="str">
        <f>IF(Ordini!$P337&lt;0,"DA EVITARE","OK")</f>
        <v>OK</v>
      </c>
      <c r="R337" s="58"/>
    </row>
    <row r="338" spans="1:18" s="62" customFormat="1" x14ac:dyDescent="0.25">
      <c r="A338" s="48">
        <v>46165</v>
      </c>
      <c r="B338" s="49" t="s">
        <v>110</v>
      </c>
      <c r="C338" s="49" t="s">
        <v>20</v>
      </c>
      <c r="D338" s="49" t="s">
        <v>494</v>
      </c>
      <c r="E338" s="49" t="s">
        <v>50</v>
      </c>
      <c r="F338" s="50">
        <v>1</v>
      </c>
      <c r="G338" s="52">
        <v>15.73</v>
      </c>
      <c r="H338" s="51">
        <v>0</v>
      </c>
      <c r="I338" s="52">
        <f>Ordini!$G338/(1+Ordini!$H338)</f>
        <v>15.73</v>
      </c>
      <c r="J338" s="52">
        <v>0</v>
      </c>
      <c r="K338" s="52">
        <v>6.41</v>
      </c>
      <c r="L338" s="52">
        <v>4.7699999999999996</v>
      </c>
      <c r="M338" s="50" t="s">
        <v>22</v>
      </c>
      <c r="N338" s="50"/>
      <c r="O338" s="53">
        <f>Ordini!$K338+Ordini!$J338+Ordini!$L338</f>
        <v>11.18</v>
      </c>
      <c r="P338" s="53">
        <f>Ordini!$I338-Ordini!$O338</f>
        <v>4.5500000000000007</v>
      </c>
      <c r="Q338" s="50" t="str">
        <f>IF(Ordini!$P338&lt;0,"DA EVITARE","OK")</f>
        <v>OK</v>
      </c>
      <c r="R338" s="50"/>
    </row>
    <row r="339" spans="1:18" s="55" customFormat="1" x14ac:dyDescent="0.25">
      <c r="A339" s="56">
        <v>46165</v>
      </c>
      <c r="B339" s="57" t="s">
        <v>110</v>
      </c>
      <c r="C339" s="57" t="s">
        <v>20</v>
      </c>
      <c r="D339" s="57" t="s">
        <v>495</v>
      </c>
      <c r="E339" s="57" t="s">
        <v>50</v>
      </c>
      <c r="F339" s="58">
        <v>1</v>
      </c>
      <c r="G339" s="60">
        <v>15.73</v>
      </c>
      <c r="H339" s="59">
        <v>0</v>
      </c>
      <c r="I339" s="60">
        <f>Ordini!$G339/(1+Ordini!$H339)</f>
        <v>15.73</v>
      </c>
      <c r="J339" s="60">
        <v>0</v>
      </c>
      <c r="K339" s="60">
        <v>6.41</v>
      </c>
      <c r="L339" s="60">
        <v>4.7699999999999996</v>
      </c>
      <c r="M339" s="58" t="s">
        <v>22</v>
      </c>
      <c r="N339" s="58"/>
      <c r="O339" s="61">
        <f>Ordini!$K339+Ordini!$J339+Ordini!$L339</f>
        <v>11.18</v>
      </c>
      <c r="P339" s="61">
        <f>Ordini!$I339-Ordini!$O339</f>
        <v>4.5500000000000007</v>
      </c>
      <c r="Q339" s="58" t="str">
        <f>IF(Ordini!$P339&lt;0,"DA EVITARE","OK")</f>
        <v>OK</v>
      </c>
      <c r="R339" s="58"/>
    </row>
    <row r="340" spans="1:18" s="62" customFormat="1" x14ac:dyDescent="0.25">
      <c r="A340" s="48">
        <v>46165</v>
      </c>
      <c r="B340" s="49" t="s">
        <v>109</v>
      </c>
      <c r="C340" s="49" t="s">
        <v>20</v>
      </c>
      <c r="D340" s="49" t="s">
        <v>496</v>
      </c>
      <c r="E340" s="49" t="s">
        <v>509</v>
      </c>
      <c r="F340" s="50">
        <v>4</v>
      </c>
      <c r="G340" s="52">
        <v>68.48</v>
      </c>
      <c r="H340" s="51">
        <v>0</v>
      </c>
      <c r="I340" s="52">
        <f>Ordini!$G340/(1+Ordini!$H340)</f>
        <v>68.48</v>
      </c>
      <c r="J340" s="52">
        <v>6.89</v>
      </c>
      <c r="K340" s="52">
        <v>20.447200000000002</v>
      </c>
      <c r="L340" s="52">
        <v>4.3600000000000003</v>
      </c>
      <c r="M340" s="50" t="s">
        <v>22</v>
      </c>
      <c r="N340" s="50"/>
      <c r="O340" s="53">
        <f>Ordini!$K340+Ordini!$J340+Ordini!$L340</f>
        <v>31.697200000000002</v>
      </c>
      <c r="P340" s="53">
        <f>Ordini!$I340-Ordini!$O340</f>
        <v>36.782800000000002</v>
      </c>
      <c r="Q340" s="50" t="str">
        <f>IF(Ordini!$P340&lt;0,"DA EVITARE","OK")</f>
        <v>OK</v>
      </c>
      <c r="R340" s="50"/>
    </row>
    <row r="341" spans="1:18" s="55" customFormat="1" x14ac:dyDescent="0.25">
      <c r="A341" s="56">
        <v>46165</v>
      </c>
      <c r="B341" s="57" t="s">
        <v>109</v>
      </c>
      <c r="C341" s="57" t="s">
        <v>20</v>
      </c>
      <c r="D341" s="57" t="s">
        <v>525</v>
      </c>
      <c r="E341" s="57" t="s">
        <v>526</v>
      </c>
      <c r="F341" s="58">
        <v>1</v>
      </c>
      <c r="G341" s="60">
        <v>16</v>
      </c>
      <c r="H341" s="59">
        <v>0</v>
      </c>
      <c r="I341" s="60">
        <f>Ordini!$G341/(1+Ordini!$H341)</f>
        <v>16</v>
      </c>
      <c r="J341" s="60">
        <v>1.62</v>
      </c>
      <c r="K341" s="60">
        <v>8.5766000000000009</v>
      </c>
      <c r="L341" s="60">
        <v>4.7699999999999996</v>
      </c>
      <c r="M341" s="58" t="s">
        <v>22</v>
      </c>
      <c r="N341" s="58"/>
      <c r="O341" s="61">
        <f>Ordini!$K341+Ordini!$J341+Ordini!$L341</f>
        <v>14.9666</v>
      </c>
      <c r="P341" s="61">
        <f>Ordini!$I341-Ordini!$O341</f>
        <v>1.0334000000000003</v>
      </c>
      <c r="Q341" s="58" t="str">
        <f>IF(Ordini!$P341&lt;0,"DA EVITARE","OK")</f>
        <v>OK</v>
      </c>
      <c r="R341" s="58"/>
    </row>
    <row r="342" spans="1:18" s="62" customFormat="1" x14ac:dyDescent="0.25">
      <c r="A342" s="48">
        <v>46165</v>
      </c>
      <c r="B342" s="49" t="s">
        <v>110</v>
      </c>
      <c r="C342" s="49" t="s">
        <v>20</v>
      </c>
      <c r="D342" s="49" t="s">
        <v>527</v>
      </c>
      <c r="E342" s="49" t="s">
        <v>50</v>
      </c>
      <c r="F342" s="50">
        <v>1</v>
      </c>
      <c r="G342" s="52">
        <v>14.65</v>
      </c>
      <c r="H342" s="51">
        <v>0</v>
      </c>
      <c r="I342" s="52">
        <f>Ordini!$G342/(1+Ordini!$H342)</f>
        <v>14.65</v>
      </c>
      <c r="J342" s="52">
        <v>0</v>
      </c>
      <c r="K342" s="52">
        <v>6.41</v>
      </c>
      <c r="L342" s="52">
        <v>4.7699999999999996</v>
      </c>
      <c r="M342" s="50" t="s">
        <v>22</v>
      </c>
      <c r="N342" s="50"/>
      <c r="O342" s="53">
        <f>Ordini!$K342+Ordini!$J342+Ordini!$L342</f>
        <v>11.18</v>
      </c>
      <c r="P342" s="53">
        <f>Ordini!$I342-Ordini!$O342</f>
        <v>3.4700000000000006</v>
      </c>
      <c r="Q342" s="50" t="str">
        <f>IF(Ordini!$P342&lt;0,"DA EVITARE","OK")</f>
        <v>OK</v>
      </c>
      <c r="R342" s="50"/>
    </row>
    <row r="343" spans="1:18" s="55" customFormat="1" x14ac:dyDescent="0.25">
      <c r="A343" s="56">
        <v>46165</v>
      </c>
      <c r="B343" s="57" t="s">
        <v>110</v>
      </c>
      <c r="C343" s="57" t="s">
        <v>20</v>
      </c>
      <c r="D343" s="57" t="s">
        <v>528</v>
      </c>
      <c r="E343" s="57" t="s">
        <v>50</v>
      </c>
      <c r="F343" s="58">
        <v>1</v>
      </c>
      <c r="G343" s="60">
        <v>15.73</v>
      </c>
      <c r="H343" s="59">
        <v>0</v>
      </c>
      <c r="I343" s="60">
        <f>Ordini!$G343/(1+Ordini!$H343)</f>
        <v>15.73</v>
      </c>
      <c r="J343" s="60">
        <v>0</v>
      </c>
      <c r="K343" s="60">
        <v>6.41</v>
      </c>
      <c r="L343" s="60">
        <v>4.7699999999999996</v>
      </c>
      <c r="M343" s="58" t="s">
        <v>22</v>
      </c>
      <c r="N343" s="58"/>
      <c r="O343" s="61">
        <f>Ordini!$K343+Ordini!$J343+Ordini!$L343</f>
        <v>11.18</v>
      </c>
      <c r="P343" s="61">
        <f>Ordini!$I343-Ordini!$O343</f>
        <v>4.5500000000000007</v>
      </c>
      <c r="Q343" s="58" t="str">
        <f>IF(Ordini!$P343&lt;0,"DA EVITARE","OK")</f>
        <v>OK</v>
      </c>
      <c r="R343" s="58"/>
    </row>
    <row r="344" spans="1:18" s="62" customFormat="1" x14ac:dyDescent="0.25">
      <c r="A344" s="48">
        <v>46165</v>
      </c>
      <c r="B344" s="49" t="s">
        <v>110</v>
      </c>
      <c r="C344" s="49" t="s">
        <v>20</v>
      </c>
      <c r="D344" s="49" t="s">
        <v>529</v>
      </c>
      <c r="E344" s="49" t="s">
        <v>412</v>
      </c>
      <c r="F344" s="50">
        <v>1</v>
      </c>
      <c r="G344" s="52">
        <v>28.57</v>
      </c>
      <c r="H344" s="51">
        <v>0</v>
      </c>
      <c r="I344" s="52">
        <f>Ordini!$G344/(1+Ordini!$H344)</f>
        <v>28.57</v>
      </c>
      <c r="J344" s="52">
        <v>0</v>
      </c>
      <c r="K344" s="52">
        <v>15.31</v>
      </c>
      <c r="L344" s="52">
        <v>5.87</v>
      </c>
      <c r="M344" s="50" t="s">
        <v>22</v>
      </c>
      <c r="N344" s="50"/>
      <c r="O344" s="53">
        <f>Ordini!$K344+Ordini!$J344+Ordini!$L344</f>
        <v>21.18</v>
      </c>
      <c r="P344" s="53">
        <f>Ordini!$I344-Ordini!$O344</f>
        <v>7.3900000000000006</v>
      </c>
      <c r="Q344" s="50" t="str">
        <f>IF(Ordini!$P344&lt;0,"DA EVITARE","OK")</f>
        <v>OK</v>
      </c>
      <c r="R344" s="50"/>
    </row>
    <row r="345" spans="1:18" s="55" customFormat="1" x14ac:dyDescent="0.25">
      <c r="A345" s="56">
        <v>46165</v>
      </c>
      <c r="B345" s="57" t="s">
        <v>110</v>
      </c>
      <c r="C345" s="57" t="s">
        <v>20</v>
      </c>
      <c r="D345" s="57" t="s">
        <v>530</v>
      </c>
      <c r="E345" s="57" t="s">
        <v>340</v>
      </c>
      <c r="F345" s="58">
        <v>1</v>
      </c>
      <c r="G345" s="60">
        <v>54.19</v>
      </c>
      <c r="H345" s="59">
        <v>0</v>
      </c>
      <c r="I345" s="60">
        <f>Ordini!$G345/(1+Ordini!$H345)</f>
        <v>54.19</v>
      </c>
      <c r="J345" s="60">
        <v>0</v>
      </c>
      <c r="K345" s="60">
        <v>42.541399999999996</v>
      </c>
      <c r="L345" s="60">
        <v>12.5</v>
      </c>
      <c r="M345" s="58" t="s">
        <v>22</v>
      </c>
      <c r="N345" s="58"/>
      <c r="O345" s="61">
        <f>Ordini!$K345+Ordini!$J345+Ordini!$L345</f>
        <v>55.041399999999996</v>
      </c>
      <c r="P345" s="61">
        <f>Ordini!$I345-Ordini!$O345</f>
        <v>-0.85139999999999816</v>
      </c>
      <c r="Q345" s="58" t="str">
        <f>IF(Ordini!$P345&lt;0,"DA EVITARE","OK")</f>
        <v>DA EVITARE</v>
      </c>
      <c r="R345" s="58"/>
    </row>
    <row r="346" spans="1:18" s="62" customFormat="1" x14ac:dyDescent="0.25">
      <c r="A346" s="48">
        <v>46165</v>
      </c>
      <c r="B346" s="49" t="s">
        <v>109</v>
      </c>
      <c r="C346" s="49" t="s">
        <v>20</v>
      </c>
      <c r="D346" s="49" t="s">
        <v>531</v>
      </c>
      <c r="E346" s="49" t="s">
        <v>60</v>
      </c>
      <c r="F346" s="50">
        <v>1</v>
      </c>
      <c r="G346" s="52">
        <v>87.99</v>
      </c>
      <c r="H346" s="51">
        <v>0</v>
      </c>
      <c r="I346" s="52">
        <f>Ordini!$G346/(1+Ordini!$H346)</f>
        <v>87.99</v>
      </c>
      <c r="J346" s="52">
        <v>14.38</v>
      </c>
      <c r="K346" s="52">
        <v>39.76</v>
      </c>
      <c r="L346" s="52">
        <v>8.01</v>
      </c>
      <c r="M346" s="50" t="s">
        <v>22</v>
      </c>
      <c r="N346" s="50"/>
      <c r="O346" s="53">
        <f>Ordini!$K346+Ordini!$J346+Ordini!$L346</f>
        <v>62.15</v>
      </c>
      <c r="P346" s="53">
        <f>Ordini!$I346-Ordini!$O346</f>
        <v>25.839999999999996</v>
      </c>
      <c r="Q346" s="50" t="str">
        <f>IF(Ordini!$P346&lt;0,"DA EVITARE","OK")</f>
        <v>OK</v>
      </c>
      <c r="R346" s="50"/>
    </row>
    <row r="347" spans="1:18" s="55" customFormat="1" x14ac:dyDescent="0.25">
      <c r="A347" s="56">
        <v>46165</v>
      </c>
      <c r="B347" s="57" t="s">
        <v>109</v>
      </c>
      <c r="C347" s="57" t="s">
        <v>20</v>
      </c>
      <c r="D347" s="57" t="s">
        <v>532</v>
      </c>
      <c r="E347" s="57" t="s">
        <v>359</v>
      </c>
      <c r="F347" s="58">
        <v>1</v>
      </c>
      <c r="G347" s="60">
        <v>25.03</v>
      </c>
      <c r="H347" s="59">
        <v>0</v>
      </c>
      <c r="I347" s="60">
        <f>Ordini!$G347/(1+Ordini!$H347)</f>
        <v>25.03</v>
      </c>
      <c r="J347" s="60">
        <v>4.72</v>
      </c>
      <c r="K347" s="60">
        <v>11.211799999999998</v>
      </c>
      <c r="L347" s="60">
        <v>4.3600000000000003</v>
      </c>
      <c r="M347" s="58" t="s">
        <v>22</v>
      </c>
      <c r="N347" s="58"/>
      <c r="O347" s="61">
        <f>Ordini!$K347+Ordini!$J347+Ordini!$L347</f>
        <v>20.291799999999999</v>
      </c>
      <c r="P347" s="61">
        <f>Ordini!$I347-Ordini!$O347</f>
        <v>4.7382000000000026</v>
      </c>
      <c r="Q347" s="58" t="str">
        <f>IF(Ordini!$P347&lt;0,"DA EVITARE","OK")</f>
        <v>OK</v>
      </c>
      <c r="R347" s="58"/>
    </row>
    <row r="348" spans="1:18" s="62" customFormat="1" x14ac:dyDescent="0.25">
      <c r="A348" s="48">
        <v>46165</v>
      </c>
      <c r="B348" s="49" t="s">
        <v>109</v>
      </c>
      <c r="C348" s="49" t="s">
        <v>20</v>
      </c>
      <c r="D348" s="49" t="s">
        <v>533</v>
      </c>
      <c r="E348" s="49" t="s">
        <v>50</v>
      </c>
      <c r="F348" s="50">
        <v>1</v>
      </c>
      <c r="G348" s="52">
        <v>18.989999999999998</v>
      </c>
      <c r="H348" s="51">
        <v>0</v>
      </c>
      <c r="I348" s="52">
        <f>Ordini!$G348/(1+Ordini!$H348)</f>
        <v>18.989999999999998</v>
      </c>
      <c r="J348" s="52">
        <v>3.59</v>
      </c>
      <c r="K348" s="52">
        <v>6.41</v>
      </c>
      <c r="L348" s="52">
        <v>4.7699999999999996</v>
      </c>
      <c r="M348" s="50" t="s">
        <v>22</v>
      </c>
      <c r="N348" s="50"/>
      <c r="O348" s="53">
        <f>Ordini!$K348+Ordini!$J348+Ordini!$L348</f>
        <v>14.77</v>
      </c>
      <c r="P348" s="53">
        <f>Ordini!$I348-Ordini!$O348</f>
        <v>4.2199999999999989</v>
      </c>
      <c r="Q348" s="50" t="str">
        <f>IF(Ordini!$P348&lt;0,"DA EVITARE","OK")</f>
        <v>OK</v>
      </c>
      <c r="R348" s="50"/>
    </row>
    <row r="349" spans="1:18" s="55" customFormat="1" x14ac:dyDescent="0.25">
      <c r="A349" s="56">
        <v>46165</v>
      </c>
      <c r="B349" s="57" t="s">
        <v>109</v>
      </c>
      <c r="C349" s="57" t="s">
        <v>20</v>
      </c>
      <c r="D349" s="57" t="s">
        <v>534</v>
      </c>
      <c r="E349" s="57" t="s">
        <v>77</v>
      </c>
      <c r="F349" s="58">
        <v>1</v>
      </c>
      <c r="G349" s="60">
        <v>59.99</v>
      </c>
      <c r="H349" s="59">
        <v>0</v>
      </c>
      <c r="I349" s="60">
        <f>Ordini!$G349/(1+Ordini!$H349)</f>
        <v>59.99</v>
      </c>
      <c r="J349" s="60">
        <v>11.31</v>
      </c>
      <c r="K349" s="60">
        <v>26.82</v>
      </c>
      <c r="L349" s="60">
        <v>5.87</v>
      </c>
      <c r="M349" s="58" t="s">
        <v>22</v>
      </c>
      <c r="N349" s="58"/>
      <c r="O349" s="61">
        <f>Ordini!$K349+Ordini!$J349+Ordini!$L349</f>
        <v>44</v>
      </c>
      <c r="P349" s="61">
        <f>Ordini!$I349-Ordini!$O349</f>
        <v>15.990000000000002</v>
      </c>
      <c r="Q349" s="58" t="str">
        <f>IF(Ordini!$P349&lt;0,"DA EVITARE","OK")</f>
        <v>OK</v>
      </c>
      <c r="R349" s="58"/>
    </row>
    <row r="350" spans="1:18" s="62" customFormat="1" x14ac:dyDescent="0.25">
      <c r="A350" s="48">
        <v>46165</v>
      </c>
      <c r="B350" s="49" t="s">
        <v>109</v>
      </c>
      <c r="C350" s="49" t="s">
        <v>20</v>
      </c>
      <c r="D350" s="49" t="s">
        <v>535</v>
      </c>
      <c r="E350" s="49" t="s">
        <v>359</v>
      </c>
      <c r="F350" s="50">
        <v>1</v>
      </c>
      <c r="G350" s="52">
        <v>25.03</v>
      </c>
      <c r="H350" s="51">
        <v>0</v>
      </c>
      <c r="I350" s="52">
        <f>Ordini!$G350/(1+Ordini!$H350)</f>
        <v>25.03</v>
      </c>
      <c r="J350" s="52">
        <v>4.72</v>
      </c>
      <c r="K350" s="52">
        <v>11.211799999999998</v>
      </c>
      <c r="L350" s="52">
        <v>4.3600000000000003</v>
      </c>
      <c r="M350" s="50" t="s">
        <v>22</v>
      </c>
      <c r="N350" s="50"/>
      <c r="O350" s="53">
        <f>Ordini!$K350+Ordini!$J350+Ordini!$L350</f>
        <v>20.291799999999999</v>
      </c>
      <c r="P350" s="53">
        <f>Ordini!$I350-Ordini!$O350</f>
        <v>4.7382000000000026</v>
      </c>
      <c r="Q350" s="50" t="str">
        <f>IF(Ordini!$P350&lt;0,"DA EVITARE","OK")</f>
        <v>OK</v>
      </c>
      <c r="R350" s="50"/>
    </row>
    <row r="351" spans="1:18" s="55" customFormat="1" x14ac:dyDescent="0.25">
      <c r="A351" s="56">
        <v>46165</v>
      </c>
      <c r="B351" s="57" t="s">
        <v>109</v>
      </c>
      <c r="C351" s="57" t="s">
        <v>20</v>
      </c>
      <c r="D351" s="57" t="s">
        <v>536</v>
      </c>
      <c r="E351" s="57" t="s">
        <v>60</v>
      </c>
      <c r="F351" s="58">
        <v>1</v>
      </c>
      <c r="G351" s="60">
        <v>87.99</v>
      </c>
      <c r="H351" s="59">
        <v>0</v>
      </c>
      <c r="I351" s="60">
        <f>Ordini!$G351/(1+Ordini!$H351)</f>
        <v>87.99</v>
      </c>
      <c r="J351" s="60">
        <v>14.38</v>
      </c>
      <c r="K351" s="60">
        <v>39.76</v>
      </c>
      <c r="L351" s="60">
        <v>8.01</v>
      </c>
      <c r="M351" s="58" t="s">
        <v>22</v>
      </c>
      <c r="N351" s="58"/>
      <c r="O351" s="61">
        <f>Ordini!$K351+Ordini!$J351+Ordini!$L351</f>
        <v>62.15</v>
      </c>
      <c r="P351" s="61">
        <f>Ordini!$I351-Ordini!$O351</f>
        <v>25.839999999999996</v>
      </c>
      <c r="Q351" s="58" t="str">
        <f>IF(Ordini!$P351&lt;0,"DA EVITARE","OK")</f>
        <v>OK</v>
      </c>
      <c r="R351" s="58"/>
    </row>
    <row r="352" spans="1:18" s="55" customFormat="1" x14ac:dyDescent="0.25">
      <c r="A352" s="56">
        <v>46166</v>
      </c>
      <c r="B352" s="57" t="s">
        <v>363</v>
      </c>
      <c r="C352" s="57" t="s">
        <v>20</v>
      </c>
      <c r="D352" s="57" t="s">
        <v>601</v>
      </c>
      <c r="E352" s="57" t="s">
        <v>602</v>
      </c>
      <c r="F352" s="58">
        <v>1</v>
      </c>
      <c r="G352" s="60">
        <v>19.149999999999999</v>
      </c>
      <c r="H352" s="59">
        <v>0</v>
      </c>
      <c r="I352" s="60">
        <f>Ordini!$G352/(1+Ordini!$H352)</f>
        <v>19.149999999999999</v>
      </c>
      <c r="J352" s="60">
        <v>2.2999999999999998</v>
      </c>
      <c r="K352" s="60">
        <v>7.8568000000000007</v>
      </c>
      <c r="L352" s="60">
        <v>4.3600000000000003</v>
      </c>
      <c r="M352" s="58" t="s">
        <v>34</v>
      </c>
      <c r="N352" s="58"/>
      <c r="O352" s="61">
        <f>Ordini!$K352+Ordini!$J352+Ordini!$L352</f>
        <v>14.5168</v>
      </c>
      <c r="P352" s="61">
        <f>Ordini!$I352-Ordini!$O352</f>
        <v>4.6331999999999987</v>
      </c>
      <c r="Q352" s="58" t="str">
        <f>IF(Ordini!$P352&lt;0,"DA EVITARE","OK")</f>
        <v>OK</v>
      </c>
      <c r="R352" s="58"/>
    </row>
    <row r="353" spans="1:18" s="62" customFormat="1" x14ac:dyDescent="0.25">
      <c r="A353" s="48">
        <v>46166</v>
      </c>
      <c r="B353" s="49" t="s">
        <v>109</v>
      </c>
      <c r="C353" s="49" t="s">
        <v>20</v>
      </c>
      <c r="D353" s="49" t="s">
        <v>537</v>
      </c>
      <c r="E353" s="49" t="s">
        <v>77</v>
      </c>
      <c r="F353" s="50">
        <v>1</v>
      </c>
      <c r="G353" s="52">
        <v>59.99</v>
      </c>
      <c r="H353" s="51">
        <v>0</v>
      </c>
      <c r="I353" s="52">
        <f>Ordini!$G353/(1+Ordini!$H353)</f>
        <v>59.99</v>
      </c>
      <c r="J353" s="52">
        <v>11.31</v>
      </c>
      <c r="K353" s="52">
        <v>26.82</v>
      </c>
      <c r="L353" s="52">
        <v>5.87</v>
      </c>
      <c r="M353" s="50" t="s">
        <v>22</v>
      </c>
      <c r="N353" s="50"/>
      <c r="O353" s="53">
        <f>Ordini!$K353+Ordini!$J353+Ordini!$L353</f>
        <v>44</v>
      </c>
      <c r="P353" s="53">
        <f>Ordini!$I353-Ordini!$O353</f>
        <v>15.990000000000002</v>
      </c>
      <c r="Q353" s="50" t="str">
        <f>IF(Ordini!$P353&lt;0,"DA EVITARE","OK")</f>
        <v>OK</v>
      </c>
      <c r="R353" s="50"/>
    </row>
    <row r="354" spans="1:18" s="55" customFormat="1" x14ac:dyDescent="0.25">
      <c r="A354" s="56">
        <v>46166</v>
      </c>
      <c r="B354" s="57" t="s">
        <v>110</v>
      </c>
      <c r="C354" s="57" t="s">
        <v>20</v>
      </c>
      <c r="D354" s="57" t="s">
        <v>538</v>
      </c>
      <c r="E354" s="57" t="s">
        <v>63</v>
      </c>
      <c r="F354" s="58">
        <v>1</v>
      </c>
      <c r="G354" s="60">
        <v>85.81</v>
      </c>
      <c r="H354" s="59">
        <v>0</v>
      </c>
      <c r="I354" s="60">
        <f>Ordini!$G354/(1+Ordini!$H354)</f>
        <v>85.81</v>
      </c>
      <c r="J354" s="60">
        <v>0</v>
      </c>
      <c r="K354" s="60">
        <v>42.629999999999995</v>
      </c>
      <c r="L354" s="60">
        <v>8.4</v>
      </c>
      <c r="M354" s="58" t="s">
        <v>22</v>
      </c>
      <c r="N354" s="58"/>
      <c r="O354" s="61">
        <f>Ordini!$K354+Ordini!$J354+Ordini!$L354</f>
        <v>51.029999999999994</v>
      </c>
      <c r="P354" s="61">
        <f>Ordini!$I354-Ordini!$O354</f>
        <v>34.780000000000008</v>
      </c>
      <c r="Q354" s="58" t="str">
        <f>IF(Ordini!$P354&lt;0,"DA EVITARE","OK")</f>
        <v>OK</v>
      </c>
      <c r="R354" s="58"/>
    </row>
    <row r="355" spans="1:18" s="62" customFormat="1" x14ac:dyDescent="0.25">
      <c r="A355" s="48">
        <v>46166</v>
      </c>
      <c r="B355" s="49" t="s">
        <v>110</v>
      </c>
      <c r="C355" s="49" t="s">
        <v>20</v>
      </c>
      <c r="D355" s="49" t="s">
        <v>539</v>
      </c>
      <c r="E355" s="49" t="s">
        <v>44</v>
      </c>
      <c r="F355" s="50">
        <v>1</v>
      </c>
      <c r="G355" s="52">
        <v>44.78</v>
      </c>
      <c r="H355" s="51">
        <v>0</v>
      </c>
      <c r="I355" s="52">
        <f>Ordini!$G355/(1+Ordini!$H355)</f>
        <v>44.78</v>
      </c>
      <c r="J355" s="52">
        <v>0</v>
      </c>
      <c r="K355" s="52">
        <v>20.970000000000002</v>
      </c>
      <c r="L355" s="52">
        <v>4.8499999999999996</v>
      </c>
      <c r="M355" s="50" t="s">
        <v>22</v>
      </c>
      <c r="N355" s="50"/>
      <c r="O355" s="53">
        <f>Ordini!$K355+Ordini!$J355+Ordini!$L355</f>
        <v>25.82</v>
      </c>
      <c r="P355" s="53">
        <f>Ordini!$I355-Ordini!$O355</f>
        <v>18.96</v>
      </c>
      <c r="Q355" s="50" t="str">
        <f>IF(Ordini!$P355&lt;0,"DA EVITARE","OK")</f>
        <v>OK</v>
      </c>
      <c r="R355" s="50"/>
    </row>
    <row r="356" spans="1:18" s="55" customFormat="1" x14ac:dyDescent="0.25">
      <c r="A356" s="56">
        <v>46166</v>
      </c>
      <c r="B356" s="57" t="s">
        <v>109</v>
      </c>
      <c r="C356" s="57" t="s">
        <v>20</v>
      </c>
      <c r="D356" s="57" t="s">
        <v>540</v>
      </c>
      <c r="E356" s="57" t="s">
        <v>60</v>
      </c>
      <c r="F356" s="58">
        <v>1</v>
      </c>
      <c r="G356" s="60">
        <v>87.99</v>
      </c>
      <c r="H356" s="59">
        <v>0</v>
      </c>
      <c r="I356" s="60">
        <f>Ordini!$G356/(1+Ordini!$H356)</f>
        <v>87.99</v>
      </c>
      <c r="J356" s="60">
        <v>14.38</v>
      </c>
      <c r="K356" s="60">
        <v>39.76</v>
      </c>
      <c r="L356" s="60">
        <v>8.01</v>
      </c>
      <c r="M356" s="58" t="s">
        <v>22</v>
      </c>
      <c r="N356" s="58"/>
      <c r="O356" s="61">
        <f>Ordini!$K356+Ordini!$J356+Ordini!$L356</f>
        <v>62.15</v>
      </c>
      <c r="P356" s="61">
        <f>Ordini!$I356-Ordini!$O356</f>
        <v>25.839999999999996</v>
      </c>
      <c r="Q356" s="58" t="str">
        <f>IF(Ordini!$P356&lt;0,"DA EVITARE","OK")</f>
        <v>OK</v>
      </c>
      <c r="R356" s="58"/>
    </row>
    <row r="357" spans="1:18" s="55" customFormat="1" x14ac:dyDescent="0.25">
      <c r="A357" s="56">
        <v>46166</v>
      </c>
      <c r="B357" s="57" t="s">
        <v>110</v>
      </c>
      <c r="C357" s="57" t="s">
        <v>20</v>
      </c>
      <c r="D357" s="57" t="s">
        <v>541</v>
      </c>
      <c r="E357" s="57" t="s">
        <v>413</v>
      </c>
      <c r="F357" s="58">
        <v>1</v>
      </c>
      <c r="G357" s="60">
        <v>17.920000000000002</v>
      </c>
      <c r="H357" s="59">
        <v>0</v>
      </c>
      <c r="I357" s="60">
        <f>Ordini!$G357/(1+Ordini!$H357)</f>
        <v>17.920000000000002</v>
      </c>
      <c r="J357" s="60">
        <v>0</v>
      </c>
      <c r="K357" s="60">
        <v>8.43</v>
      </c>
      <c r="L357" s="60">
        <v>4.7699999999999996</v>
      </c>
      <c r="M357" s="58" t="s">
        <v>22</v>
      </c>
      <c r="N357" s="58"/>
      <c r="O357" s="61">
        <f>Ordini!$K357+Ordini!$J357+Ordini!$L357</f>
        <v>13.2</v>
      </c>
      <c r="P357" s="61">
        <f>Ordini!$I357-Ordini!$O357</f>
        <v>4.7200000000000024</v>
      </c>
      <c r="Q357" s="58" t="str">
        <f>IF(Ordini!$P357&lt;0,"DA EVITARE","OK")</f>
        <v>OK</v>
      </c>
      <c r="R357" s="58"/>
    </row>
    <row r="358" spans="1:18" s="62" customFormat="1" x14ac:dyDescent="0.25">
      <c r="A358" s="48">
        <v>46166</v>
      </c>
      <c r="B358" s="49" t="s">
        <v>110</v>
      </c>
      <c r="C358" s="49" t="s">
        <v>20</v>
      </c>
      <c r="D358" s="49" t="s">
        <v>542</v>
      </c>
      <c r="E358" s="49" t="s">
        <v>413</v>
      </c>
      <c r="F358" s="50">
        <v>1</v>
      </c>
      <c r="G358" s="52">
        <v>17.920000000000002</v>
      </c>
      <c r="H358" s="51">
        <v>0</v>
      </c>
      <c r="I358" s="52">
        <f>Ordini!$G358/(1+Ordini!$H358)</f>
        <v>17.920000000000002</v>
      </c>
      <c r="J358" s="52">
        <v>0</v>
      </c>
      <c r="K358" s="52">
        <v>8.43</v>
      </c>
      <c r="L358" s="52">
        <v>4.7699999999999996</v>
      </c>
      <c r="M358" s="50" t="s">
        <v>22</v>
      </c>
      <c r="N358" s="50"/>
      <c r="O358" s="53">
        <f>Ordini!$K358+Ordini!$J358+Ordini!$L358</f>
        <v>13.2</v>
      </c>
      <c r="P358" s="53">
        <f>Ordini!$I358-Ordini!$O358</f>
        <v>4.7200000000000024</v>
      </c>
      <c r="Q358" s="50" t="str">
        <f>IF(Ordini!$P358&lt;0,"DA EVITARE","OK")</f>
        <v>OK</v>
      </c>
      <c r="R358" s="50"/>
    </row>
    <row r="359" spans="1:18" s="55" customFormat="1" x14ac:dyDescent="0.25">
      <c r="A359" s="56">
        <v>46166</v>
      </c>
      <c r="B359" s="57" t="s">
        <v>110</v>
      </c>
      <c r="C359" s="57" t="s">
        <v>20</v>
      </c>
      <c r="D359" s="57" t="s">
        <v>543</v>
      </c>
      <c r="E359" s="57" t="s">
        <v>50</v>
      </c>
      <c r="F359" s="58">
        <v>1</v>
      </c>
      <c r="G359" s="60">
        <v>15.73</v>
      </c>
      <c r="H359" s="59">
        <v>0</v>
      </c>
      <c r="I359" s="60">
        <f>Ordini!$G359/(1+Ordini!$H359)</f>
        <v>15.73</v>
      </c>
      <c r="J359" s="60">
        <v>0</v>
      </c>
      <c r="K359" s="60">
        <v>6.41</v>
      </c>
      <c r="L359" s="60">
        <v>4.7699999999999996</v>
      </c>
      <c r="M359" s="58" t="s">
        <v>22</v>
      </c>
      <c r="N359" s="58"/>
      <c r="O359" s="61">
        <f>Ordini!$K359+Ordini!$J359+Ordini!$L359</f>
        <v>11.18</v>
      </c>
      <c r="P359" s="61">
        <f>Ordini!$I359-Ordini!$O359</f>
        <v>4.5500000000000007</v>
      </c>
      <c r="Q359" s="58" t="str">
        <f>IF(Ordini!$P359&lt;0,"DA EVITARE","OK")</f>
        <v>OK</v>
      </c>
      <c r="R359" s="58"/>
    </row>
    <row r="360" spans="1:18" s="62" customFormat="1" x14ac:dyDescent="0.25">
      <c r="A360" s="48">
        <v>46166</v>
      </c>
      <c r="B360" s="49" t="s">
        <v>110</v>
      </c>
      <c r="C360" s="49" t="s">
        <v>20</v>
      </c>
      <c r="D360" s="49" t="s">
        <v>544</v>
      </c>
      <c r="E360" s="49" t="s">
        <v>50</v>
      </c>
      <c r="F360" s="50">
        <v>1</v>
      </c>
      <c r="G360" s="52">
        <v>15.73</v>
      </c>
      <c r="H360" s="51">
        <v>0</v>
      </c>
      <c r="I360" s="52">
        <f>Ordini!$G360/(1+Ordini!$H360)</f>
        <v>15.73</v>
      </c>
      <c r="J360" s="52">
        <v>0</v>
      </c>
      <c r="K360" s="52">
        <v>6.41</v>
      </c>
      <c r="L360" s="52">
        <v>4.7699999999999996</v>
      </c>
      <c r="M360" s="50" t="s">
        <v>22</v>
      </c>
      <c r="N360" s="50"/>
      <c r="O360" s="53">
        <f>Ordini!$K360+Ordini!$J360+Ordini!$L360</f>
        <v>11.18</v>
      </c>
      <c r="P360" s="53">
        <f>Ordini!$I360-Ordini!$O360</f>
        <v>4.5500000000000007</v>
      </c>
      <c r="Q360" s="50" t="str">
        <f>IF(Ordini!$P360&lt;0,"DA EVITARE","OK")</f>
        <v>OK</v>
      </c>
      <c r="R360" s="50"/>
    </row>
    <row r="361" spans="1:18" s="55" customFormat="1" x14ac:dyDescent="0.25">
      <c r="A361" s="56">
        <v>46166</v>
      </c>
      <c r="B361" s="57" t="s">
        <v>111</v>
      </c>
      <c r="C361" s="57" t="s">
        <v>20</v>
      </c>
      <c r="D361" s="57" t="s">
        <v>524</v>
      </c>
      <c r="E361" s="57" t="s">
        <v>44</v>
      </c>
      <c r="F361" s="58">
        <v>1</v>
      </c>
      <c r="G361" s="60">
        <v>43.73</v>
      </c>
      <c r="H361" s="59">
        <v>0</v>
      </c>
      <c r="I361" s="60">
        <f>Ordini!$G361/(1+Ordini!$H361)</f>
        <v>43.73</v>
      </c>
      <c r="J361" s="60">
        <v>4.21</v>
      </c>
      <c r="K361" s="60">
        <v>20.970000000000002</v>
      </c>
      <c r="L361" s="60">
        <v>4.8499999999999996</v>
      </c>
      <c r="M361" s="58" t="s">
        <v>22</v>
      </c>
      <c r="N361" s="58"/>
      <c r="O361" s="61">
        <f>Ordini!$K361+Ordini!$J361+Ordini!$L361</f>
        <v>30.03</v>
      </c>
      <c r="P361" s="61">
        <f>Ordini!$I361-Ordini!$O361</f>
        <v>13.699999999999996</v>
      </c>
      <c r="Q361" s="58" t="str">
        <f>IF(Ordini!$P361&lt;0,"DA EVITARE","OK")</f>
        <v>OK</v>
      </c>
      <c r="R361" s="58"/>
    </row>
    <row r="362" spans="1:18" s="62" customFormat="1" x14ac:dyDescent="0.25">
      <c r="A362" s="48">
        <v>46166</v>
      </c>
      <c r="B362" s="49" t="s">
        <v>111</v>
      </c>
      <c r="C362" s="49" t="s">
        <v>20</v>
      </c>
      <c r="D362" s="49" t="s">
        <v>591</v>
      </c>
      <c r="E362" s="49" t="s">
        <v>73</v>
      </c>
      <c r="F362" s="50">
        <v>1</v>
      </c>
      <c r="G362" s="52">
        <v>33.25</v>
      </c>
      <c r="H362" s="51">
        <v>0</v>
      </c>
      <c r="I362" s="52">
        <f>Ordini!$G362/(1+Ordini!$H362)</f>
        <v>33.25</v>
      </c>
      <c r="J362" s="52">
        <v>4.8</v>
      </c>
      <c r="K362" s="52">
        <v>14.47</v>
      </c>
      <c r="L362" s="52">
        <v>7.1</v>
      </c>
      <c r="M362" s="50" t="s">
        <v>22</v>
      </c>
      <c r="N362" s="50"/>
      <c r="O362" s="53">
        <f>Ordini!$K362+Ordini!$J362+Ordini!$L362</f>
        <v>26.369999999999997</v>
      </c>
      <c r="P362" s="53">
        <f>Ordini!$I362-Ordini!$O362</f>
        <v>6.8800000000000026</v>
      </c>
      <c r="Q362" s="50" t="str">
        <f>IF(Ordini!$P362&lt;0,"DA EVITARE","OK")</f>
        <v>OK</v>
      </c>
      <c r="R362" s="50"/>
    </row>
    <row r="363" spans="1:18" s="55" customFormat="1" x14ac:dyDescent="0.25">
      <c r="A363" s="56">
        <v>46166</v>
      </c>
      <c r="B363" s="57" t="s">
        <v>109</v>
      </c>
      <c r="C363" s="57" t="s">
        <v>20</v>
      </c>
      <c r="D363" s="57" t="s">
        <v>545</v>
      </c>
      <c r="E363" s="57" t="s">
        <v>60</v>
      </c>
      <c r="F363" s="58">
        <v>1</v>
      </c>
      <c r="G363" s="60">
        <v>87.99</v>
      </c>
      <c r="H363" s="59">
        <v>0</v>
      </c>
      <c r="I363" s="60">
        <f>Ordini!$G363/(1+Ordini!$H363)</f>
        <v>87.99</v>
      </c>
      <c r="J363" s="60">
        <v>14.38</v>
      </c>
      <c r="K363" s="60">
        <v>39.76</v>
      </c>
      <c r="L363" s="60">
        <v>8.01</v>
      </c>
      <c r="M363" s="58" t="s">
        <v>22</v>
      </c>
      <c r="N363" s="58"/>
      <c r="O363" s="61">
        <f>Ordini!$K363+Ordini!$J363+Ordini!$L363</f>
        <v>62.15</v>
      </c>
      <c r="P363" s="61">
        <f>Ordini!$I363-Ordini!$O363</f>
        <v>25.839999999999996</v>
      </c>
      <c r="Q363" s="58" t="str">
        <f>IF(Ordini!$P363&lt;0,"DA EVITARE","OK")</f>
        <v>OK</v>
      </c>
      <c r="R363" s="58"/>
    </row>
    <row r="364" spans="1:18" s="62" customFormat="1" x14ac:dyDescent="0.25">
      <c r="A364" s="48">
        <v>46166</v>
      </c>
      <c r="B364" s="49" t="s">
        <v>110</v>
      </c>
      <c r="C364" s="49" t="s">
        <v>20</v>
      </c>
      <c r="D364" s="49" t="s">
        <v>546</v>
      </c>
      <c r="E364" s="49" t="s">
        <v>394</v>
      </c>
      <c r="F364" s="50">
        <v>1</v>
      </c>
      <c r="G364" s="52">
        <v>11.48</v>
      </c>
      <c r="H364" s="51">
        <v>0</v>
      </c>
      <c r="I364" s="52">
        <f>Ordini!$G364/(1+Ordini!$H364)</f>
        <v>11.48</v>
      </c>
      <c r="J364" s="52">
        <v>0</v>
      </c>
      <c r="K364" s="52">
        <v>10.918999999999999</v>
      </c>
      <c r="L364" s="52">
        <v>4.3600000000000003</v>
      </c>
      <c r="M364" s="50" t="s">
        <v>34</v>
      </c>
      <c r="N364" s="50"/>
      <c r="O364" s="53">
        <f>Ordini!$K364+Ordini!$J364+Ordini!$L364</f>
        <v>15.279</v>
      </c>
      <c r="P364" s="53">
        <f>Ordini!$I364-Ordini!$O364</f>
        <v>-3.7989999999999995</v>
      </c>
      <c r="Q364" s="50" t="str">
        <f>IF(Ordini!$P364&lt;0,"DA EVITARE","OK")</f>
        <v>DA EVITARE</v>
      </c>
      <c r="R364" s="50"/>
    </row>
    <row r="365" spans="1:18" s="55" customFormat="1" x14ac:dyDescent="0.25">
      <c r="A365" s="56">
        <v>46166</v>
      </c>
      <c r="B365" s="57" t="s">
        <v>109</v>
      </c>
      <c r="C365" s="57" t="s">
        <v>20</v>
      </c>
      <c r="D365" s="57" t="s">
        <v>547</v>
      </c>
      <c r="E365" s="57" t="s">
        <v>77</v>
      </c>
      <c r="F365" s="58">
        <v>1</v>
      </c>
      <c r="G365" s="60">
        <v>59.99</v>
      </c>
      <c r="H365" s="59">
        <v>0</v>
      </c>
      <c r="I365" s="60">
        <f>Ordini!$G365/(1+Ordini!$H365)</f>
        <v>59.99</v>
      </c>
      <c r="J365" s="60">
        <v>11.31</v>
      </c>
      <c r="K365" s="60">
        <v>26.82</v>
      </c>
      <c r="L365" s="60">
        <v>5.87</v>
      </c>
      <c r="M365" s="58" t="s">
        <v>22</v>
      </c>
      <c r="N365" s="58"/>
      <c r="O365" s="61">
        <f>Ordini!$K365+Ordini!$J365+Ordini!$L365</f>
        <v>44</v>
      </c>
      <c r="P365" s="61">
        <f>Ordini!$I365-Ordini!$O365</f>
        <v>15.990000000000002</v>
      </c>
      <c r="Q365" s="58" t="str">
        <f>IF(Ordini!$P365&lt;0,"DA EVITARE","OK")</f>
        <v>OK</v>
      </c>
      <c r="R365" s="58"/>
    </row>
    <row r="366" spans="1:18" s="62" customFormat="1" x14ac:dyDescent="0.25">
      <c r="A366" s="48">
        <v>46167</v>
      </c>
      <c r="B366" s="49" t="s">
        <v>111</v>
      </c>
      <c r="C366" s="49" t="s">
        <v>20</v>
      </c>
      <c r="D366" s="49" t="s">
        <v>592</v>
      </c>
      <c r="E366" s="49" t="s">
        <v>44</v>
      </c>
      <c r="F366" s="50">
        <v>1</v>
      </c>
      <c r="G366" s="52">
        <v>43.73</v>
      </c>
      <c r="H366" s="51">
        <v>0</v>
      </c>
      <c r="I366" s="52">
        <f>Ordini!$G366/(1+Ordini!$H366)</f>
        <v>43.73</v>
      </c>
      <c r="J366" s="52">
        <v>4.21</v>
      </c>
      <c r="K366" s="52">
        <v>20.970000000000002</v>
      </c>
      <c r="L366" s="52">
        <v>4.8499999999999996</v>
      </c>
      <c r="M366" s="50" t="s">
        <v>22</v>
      </c>
      <c r="N366" s="50"/>
      <c r="O366" s="53">
        <f>Ordini!$K366+Ordini!$J366+Ordini!$L366</f>
        <v>30.03</v>
      </c>
      <c r="P366" s="53">
        <f>Ordini!$I366-Ordini!$O366</f>
        <v>13.699999999999996</v>
      </c>
      <c r="Q366" s="50" t="str">
        <f>IF(Ordini!$P366&lt;0,"DA EVITARE","OK")</f>
        <v>OK</v>
      </c>
      <c r="R366" s="50"/>
    </row>
    <row r="367" spans="1:18" s="55" customFormat="1" x14ac:dyDescent="0.25">
      <c r="A367" s="56">
        <v>46167</v>
      </c>
      <c r="B367" s="57" t="s">
        <v>111</v>
      </c>
      <c r="C367" s="57" t="s">
        <v>20</v>
      </c>
      <c r="D367" s="57" t="s">
        <v>593</v>
      </c>
      <c r="E367" s="57" t="s">
        <v>77</v>
      </c>
      <c r="F367" s="58">
        <v>1</v>
      </c>
      <c r="G367" s="60">
        <v>56.99</v>
      </c>
      <c r="H367" s="59">
        <v>0</v>
      </c>
      <c r="I367" s="60">
        <f>Ordini!$G367/(1+Ordini!$H367)</f>
        <v>56.99</v>
      </c>
      <c r="J367" s="60">
        <v>5.39</v>
      </c>
      <c r="K367" s="60">
        <v>26.82</v>
      </c>
      <c r="L367" s="60">
        <v>5.87</v>
      </c>
      <c r="M367" s="58" t="s">
        <v>22</v>
      </c>
      <c r="N367" s="58"/>
      <c r="O367" s="61">
        <f>Ordini!$K367+Ordini!$J367+Ordini!$L367</f>
        <v>38.08</v>
      </c>
      <c r="P367" s="61">
        <f>Ordini!$I367-Ordini!$O367</f>
        <v>18.910000000000004</v>
      </c>
      <c r="Q367" s="58" t="str">
        <f>IF(Ordini!$P367&lt;0,"DA EVITARE","OK")</f>
        <v>OK</v>
      </c>
      <c r="R367" s="58"/>
    </row>
    <row r="368" spans="1:18" s="62" customFormat="1" x14ac:dyDescent="0.25">
      <c r="A368" s="48">
        <v>46167</v>
      </c>
      <c r="B368" s="49" t="s">
        <v>111</v>
      </c>
      <c r="C368" s="49" t="s">
        <v>20</v>
      </c>
      <c r="D368" s="49" t="s">
        <v>594</v>
      </c>
      <c r="E368" s="49" t="s">
        <v>44</v>
      </c>
      <c r="F368" s="50">
        <v>1</v>
      </c>
      <c r="G368" s="52">
        <v>45.6</v>
      </c>
      <c r="H368" s="51">
        <v>0</v>
      </c>
      <c r="I368" s="52">
        <f>Ordini!$G368/(1+Ordini!$H368)</f>
        <v>45.6</v>
      </c>
      <c r="J368" s="52">
        <v>4.38</v>
      </c>
      <c r="K368" s="52">
        <v>20.970000000000002</v>
      </c>
      <c r="L368" s="52">
        <v>4.8499999999999996</v>
      </c>
      <c r="M368" s="50" t="s">
        <v>22</v>
      </c>
      <c r="N368" s="50"/>
      <c r="O368" s="53">
        <f>Ordini!$K368+Ordini!$J368+Ordini!$L368</f>
        <v>30.200000000000003</v>
      </c>
      <c r="P368" s="53">
        <f>Ordini!$I368-Ordini!$O368</f>
        <v>15.399999999999999</v>
      </c>
      <c r="Q368" s="50" t="str">
        <f>IF(Ordini!$P368&lt;0,"DA EVITARE","OK")</f>
        <v>OK</v>
      </c>
      <c r="R368" s="50"/>
    </row>
    <row r="369" spans="1:18" s="55" customFormat="1" x14ac:dyDescent="0.25">
      <c r="A369" s="56">
        <v>46167</v>
      </c>
      <c r="B369" s="57" t="s">
        <v>111</v>
      </c>
      <c r="C369" s="57" t="s">
        <v>20</v>
      </c>
      <c r="D369" s="57" t="s">
        <v>595</v>
      </c>
      <c r="E369" s="57" t="s">
        <v>44</v>
      </c>
      <c r="F369" s="58">
        <v>1</v>
      </c>
      <c r="G369" s="60">
        <v>43.73</v>
      </c>
      <c r="H369" s="59">
        <v>0</v>
      </c>
      <c r="I369" s="60">
        <f>Ordini!$G369/(1+Ordini!$H369)</f>
        <v>43.73</v>
      </c>
      <c r="J369" s="60">
        <v>4.21</v>
      </c>
      <c r="K369" s="60">
        <v>20.970000000000002</v>
      </c>
      <c r="L369" s="60">
        <v>4.8499999999999996</v>
      </c>
      <c r="M369" s="58" t="s">
        <v>22</v>
      </c>
      <c r="N369" s="58"/>
      <c r="O369" s="61">
        <f>Ordini!$K369+Ordini!$J369+Ordini!$L369</f>
        <v>30.03</v>
      </c>
      <c r="P369" s="61">
        <f>Ordini!$I369-Ordini!$O369</f>
        <v>13.699999999999996</v>
      </c>
      <c r="Q369" s="58" t="str">
        <f>IF(Ordini!$P369&lt;0,"DA EVITARE","OK")</f>
        <v>OK</v>
      </c>
      <c r="R369" s="58"/>
    </row>
    <row r="370" spans="1:18" s="62" customFormat="1" x14ac:dyDescent="0.25">
      <c r="A370" s="48">
        <v>46167</v>
      </c>
      <c r="B370" s="49" t="s">
        <v>109</v>
      </c>
      <c r="C370" s="49" t="s">
        <v>20</v>
      </c>
      <c r="D370" s="49" t="s">
        <v>548</v>
      </c>
      <c r="E370" s="49" t="s">
        <v>77</v>
      </c>
      <c r="F370" s="50">
        <v>1</v>
      </c>
      <c r="G370" s="52">
        <v>59.99</v>
      </c>
      <c r="H370" s="51">
        <v>0</v>
      </c>
      <c r="I370" s="52">
        <f>Ordini!$G370/(1+Ordini!$H370)</f>
        <v>59.99</v>
      </c>
      <c r="J370" s="52">
        <v>11.3</v>
      </c>
      <c r="K370" s="52">
        <v>26.82</v>
      </c>
      <c r="L370" s="52">
        <v>5.87</v>
      </c>
      <c r="M370" s="50" t="s">
        <v>22</v>
      </c>
      <c r="N370" s="50"/>
      <c r="O370" s="53">
        <f>Ordini!$K370+Ordini!$J370+Ordini!$L370</f>
        <v>43.99</v>
      </c>
      <c r="P370" s="53">
        <f>Ordini!$I370-Ordini!$O370</f>
        <v>16</v>
      </c>
      <c r="Q370" s="50" t="str">
        <f>IF(Ordini!$P370&lt;0,"DA EVITARE","OK")</f>
        <v>OK</v>
      </c>
      <c r="R370" s="50"/>
    </row>
    <row r="371" spans="1:18" s="55" customFormat="1" x14ac:dyDescent="0.25">
      <c r="A371" s="56">
        <v>46167</v>
      </c>
      <c r="B371" s="57" t="s">
        <v>109</v>
      </c>
      <c r="C371" s="57" t="s">
        <v>20</v>
      </c>
      <c r="D371" s="57" t="s">
        <v>549</v>
      </c>
      <c r="E371" s="57" t="s">
        <v>77</v>
      </c>
      <c r="F371" s="58">
        <v>1</v>
      </c>
      <c r="G371" s="60">
        <v>59.99</v>
      </c>
      <c r="H371" s="59">
        <v>0</v>
      </c>
      <c r="I371" s="60">
        <f>Ordini!$G371/(1+Ordini!$H371)</f>
        <v>59.99</v>
      </c>
      <c r="J371" s="60">
        <v>11.3</v>
      </c>
      <c r="K371" s="60">
        <v>26.82</v>
      </c>
      <c r="L371" s="60">
        <v>5.87</v>
      </c>
      <c r="M371" s="58" t="s">
        <v>22</v>
      </c>
      <c r="N371" s="58"/>
      <c r="O371" s="61">
        <f>Ordini!$K371+Ordini!$J371+Ordini!$L371</f>
        <v>43.99</v>
      </c>
      <c r="P371" s="61">
        <f>Ordini!$I371-Ordini!$O371</f>
        <v>16</v>
      </c>
      <c r="Q371" s="58" t="str">
        <f>IF(Ordini!$P371&lt;0,"DA EVITARE","OK")</f>
        <v>OK</v>
      </c>
      <c r="R371" s="58"/>
    </row>
    <row r="372" spans="1:18" s="62" customFormat="1" x14ac:dyDescent="0.25">
      <c r="A372" s="48">
        <v>46167</v>
      </c>
      <c r="B372" s="49" t="s">
        <v>109</v>
      </c>
      <c r="C372" s="49" t="s">
        <v>20</v>
      </c>
      <c r="D372" s="49" t="s">
        <v>550</v>
      </c>
      <c r="E372" s="49" t="s">
        <v>551</v>
      </c>
      <c r="F372" s="50">
        <v>7</v>
      </c>
      <c r="G372" s="52">
        <v>315</v>
      </c>
      <c r="H372" s="51">
        <v>0</v>
      </c>
      <c r="I372" s="52">
        <f>Ordini!$G372/(1+Ordini!$H372)</f>
        <v>315</v>
      </c>
      <c r="J372" s="52">
        <v>59.37</v>
      </c>
      <c r="K372" s="52">
        <v>186.37939999999986</v>
      </c>
      <c r="L372" s="52">
        <v>4.8499999999999996</v>
      </c>
      <c r="M372" s="50" t="s">
        <v>22</v>
      </c>
      <c r="N372" s="50"/>
      <c r="O372" s="53">
        <f>Ordini!$K372+Ordini!$J372+Ordini!$L372</f>
        <v>250.59939999999986</v>
      </c>
      <c r="P372" s="53">
        <f>Ordini!$I372-Ordini!$O372</f>
        <v>64.400600000000139</v>
      </c>
      <c r="Q372" s="50" t="str">
        <f>IF(Ordini!$P372&lt;0,"DA EVITARE","OK")</f>
        <v>OK</v>
      </c>
      <c r="R372" s="50"/>
    </row>
    <row r="373" spans="1:18" s="55" customFormat="1" x14ac:dyDescent="0.25">
      <c r="A373" s="56">
        <v>46167</v>
      </c>
      <c r="B373" s="57" t="s">
        <v>110</v>
      </c>
      <c r="C373" s="57" t="s">
        <v>20</v>
      </c>
      <c r="D373" s="57" t="s">
        <v>552</v>
      </c>
      <c r="E373" s="57" t="s">
        <v>73</v>
      </c>
      <c r="F373" s="58">
        <v>1</v>
      </c>
      <c r="G373" s="60">
        <v>34.119999999999997</v>
      </c>
      <c r="H373" s="59">
        <v>0</v>
      </c>
      <c r="I373" s="60">
        <f>Ordini!$G373/(1+Ordini!$H373)</f>
        <v>34.119999999999997</v>
      </c>
      <c r="J373" s="60">
        <v>0</v>
      </c>
      <c r="K373" s="60">
        <v>14.47</v>
      </c>
      <c r="L373" s="60">
        <v>7.1</v>
      </c>
      <c r="M373" s="58" t="s">
        <v>22</v>
      </c>
      <c r="N373" s="58"/>
      <c r="O373" s="61">
        <f>Ordini!$K373+Ordini!$J373+Ordini!$L373</f>
        <v>21.57</v>
      </c>
      <c r="P373" s="61">
        <f>Ordini!$I373-Ordini!$O373</f>
        <v>12.549999999999997</v>
      </c>
      <c r="Q373" s="58" t="str">
        <f>IF(Ordini!$P373&lt;0,"DA EVITARE","OK")</f>
        <v>OK</v>
      </c>
      <c r="R373" s="58"/>
    </row>
    <row r="374" spans="1:18" s="98" customFormat="1" x14ac:dyDescent="0.25">
      <c r="A374" s="92">
        <v>46167</v>
      </c>
      <c r="B374" s="93" t="s">
        <v>110</v>
      </c>
      <c r="C374" s="93" t="s">
        <v>20</v>
      </c>
      <c r="D374" s="93" t="s">
        <v>553</v>
      </c>
      <c r="E374" s="93" t="s">
        <v>54</v>
      </c>
      <c r="F374" s="94">
        <v>1</v>
      </c>
      <c r="G374" s="95"/>
      <c r="H374" s="96">
        <v>0</v>
      </c>
      <c r="I374" s="95">
        <f>Ordini!$G374/(1+Ordini!$H374)</f>
        <v>0</v>
      </c>
      <c r="J374" s="95">
        <v>0</v>
      </c>
      <c r="K374" s="95"/>
      <c r="L374" s="95">
        <v>9.5399999999999991</v>
      </c>
      <c r="M374" s="94" t="s">
        <v>24</v>
      </c>
      <c r="N374" s="94">
        <v>1</v>
      </c>
      <c r="O374" s="97">
        <f>Ordini!$K374+Ordini!$J374+Ordini!$L374</f>
        <v>9.5399999999999991</v>
      </c>
      <c r="P374" s="97">
        <f>Ordini!$I374-Ordini!$O374</f>
        <v>-9.5399999999999991</v>
      </c>
      <c r="Q374" s="94" t="str">
        <f>IF(Ordini!$P374&lt;0,"DA EVITARE","OK")</f>
        <v>DA EVITARE</v>
      </c>
      <c r="R374" s="94"/>
    </row>
    <row r="375" spans="1:18" s="55" customFormat="1" x14ac:dyDescent="0.25">
      <c r="A375" s="56">
        <v>46167</v>
      </c>
      <c r="B375" s="57" t="s">
        <v>110</v>
      </c>
      <c r="C375" s="57" t="s">
        <v>20</v>
      </c>
      <c r="D375" s="57" t="s">
        <v>554</v>
      </c>
      <c r="E375" s="57" t="s">
        <v>54</v>
      </c>
      <c r="F375" s="58">
        <v>1</v>
      </c>
      <c r="G375" s="60">
        <v>22.23</v>
      </c>
      <c r="H375" s="59">
        <v>0</v>
      </c>
      <c r="I375" s="60">
        <f>Ordini!$G375/(1+Ordini!$H375)</f>
        <v>22.23</v>
      </c>
      <c r="J375" s="60">
        <v>0</v>
      </c>
      <c r="K375" s="60">
        <v>10.440000000000001</v>
      </c>
      <c r="L375" s="60">
        <v>4.7699999999999996</v>
      </c>
      <c r="M375" s="58" t="s">
        <v>22</v>
      </c>
      <c r="N375" s="58"/>
      <c r="O375" s="61">
        <f>Ordini!$K375+Ordini!$J375+Ordini!$L375</f>
        <v>15.21</v>
      </c>
      <c r="P375" s="61">
        <f>Ordini!$I375-Ordini!$O375</f>
        <v>7.02</v>
      </c>
      <c r="Q375" s="58" t="str">
        <f>IF(Ordini!$P375&lt;0,"DA EVITARE","OK")</f>
        <v>OK</v>
      </c>
      <c r="R375" s="58"/>
    </row>
    <row r="376" spans="1:18" s="62" customFormat="1" x14ac:dyDescent="0.25">
      <c r="A376" s="48">
        <v>46167</v>
      </c>
      <c r="B376" s="49" t="s">
        <v>110</v>
      </c>
      <c r="C376" s="49" t="s">
        <v>20</v>
      </c>
      <c r="D376" s="49" t="s">
        <v>555</v>
      </c>
      <c r="E376" s="49" t="s">
        <v>556</v>
      </c>
      <c r="F376" s="50">
        <v>2</v>
      </c>
      <c r="G376" s="52">
        <v>27.71</v>
      </c>
      <c r="H376" s="51">
        <v>0</v>
      </c>
      <c r="I376" s="52">
        <f>Ordini!$G376/(1+Ordini!$H376)</f>
        <v>27.71</v>
      </c>
      <c r="J376" s="52">
        <v>0</v>
      </c>
      <c r="K376" s="52">
        <v>8.1495999999999995</v>
      </c>
      <c r="L376" s="52">
        <v>4.3600000000000003</v>
      </c>
      <c r="M376" s="50" t="s">
        <v>22</v>
      </c>
      <c r="N376" s="50"/>
      <c r="O376" s="53">
        <f>Ordini!$K376+Ordini!$J376+Ordini!$L376</f>
        <v>12.509599999999999</v>
      </c>
      <c r="P376" s="53">
        <f>Ordini!$I376-Ordini!$O376</f>
        <v>15.200400000000002</v>
      </c>
      <c r="Q376" s="50" t="str">
        <f>IF(Ordini!$P376&lt;0,"DA EVITARE","OK")</f>
        <v>OK</v>
      </c>
      <c r="R376" s="50"/>
    </row>
    <row r="377" spans="1:18" s="55" customFormat="1" x14ac:dyDescent="0.25">
      <c r="A377" s="56">
        <v>46167</v>
      </c>
      <c r="B377" s="57" t="s">
        <v>110</v>
      </c>
      <c r="C377" s="57" t="s">
        <v>20</v>
      </c>
      <c r="D377" s="57" t="s">
        <v>557</v>
      </c>
      <c r="E377" s="57" t="s">
        <v>63</v>
      </c>
      <c r="F377" s="58">
        <v>1</v>
      </c>
      <c r="G377" s="60">
        <v>85.81</v>
      </c>
      <c r="H377" s="59">
        <v>0</v>
      </c>
      <c r="I377" s="60">
        <f>Ordini!$G377/(1+Ordini!$H377)</f>
        <v>85.81</v>
      </c>
      <c r="J377" s="60">
        <v>0</v>
      </c>
      <c r="K377" s="60">
        <v>42.629999999999995</v>
      </c>
      <c r="L377" s="60">
        <v>8.4</v>
      </c>
      <c r="M377" s="58" t="s">
        <v>22</v>
      </c>
      <c r="N377" s="58"/>
      <c r="O377" s="61">
        <f>Ordini!$K377+Ordini!$J377+Ordini!$L377</f>
        <v>51.029999999999994</v>
      </c>
      <c r="P377" s="61">
        <f>Ordini!$I377-Ordini!$O377</f>
        <v>34.780000000000008</v>
      </c>
      <c r="Q377" s="58" t="str">
        <f>IF(Ordini!$P377&lt;0,"DA EVITARE","OK")</f>
        <v>OK</v>
      </c>
      <c r="R377" s="58"/>
    </row>
    <row r="378" spans="1:18" s="62" customFormat="1" x14ac:dyDescent="0.25">
      <c r="A378" s="48">
        <v>46168</v>
      </c>
      <c r="B378" s="49" t="s">
        <v>111</v>
      </c>
      <c r="C378" s="49" t="s">
        <v>20</v>
      </c>
      <c r="D378" s="49" t="s">
        <v>596</v>
      </c>
      <c r="E378" s="49" t="s">
        <v>44</v>
      </c>
      <c r="F378" s="50">
        <v>1</v>
      </c>
      <c r="G378" s="52">
        <v>45.6</v>
      </c>
      <c r="H378" s="51">
        <v>0</v>
      </c>
      <c r="I378" s="52">
        <f>Ordini!$G378/(1+Ordini!$H378)</f>
        <v>45.6</v>
      </c>
      <c r="J378" s="52">
        <v>0</v>
      </c>
      <c r="K378" s="52">
        <v>20.970000000000002</v>
      </c>
      <c r="L378" s="52">
        <v>4.8499999999999996</v>
      </c>
      <c r="M378" s="50" t="s">
        <v>22</v>
      </c>
      <c r="N378" s="50"/>
      <c r="O378" s="53">
        <f>Ordini!$K378+Ordini!$J378+Ordini!$L378</f>
        <v>25.82</v>
      </c>
      <c r="P378" s="53">
        <f>Ordini!$I378-Ordini!$O378</f>
        <v>19.78</v>
      </c>
      <c r="Q378" s="50" t="str">
        <f>IF(Ordini!$P378&lt;0,"DA EVITARE","OK")</f>
        <v>OK</v>
      </c>
      <c r="R378" s="50"/>
    </row>
    <row r="379" spans="1:18" s="55" customFormat="1" x14ac:dyDescent="0.25">
      <c r="A379" s="56">
        <v>46168</v>
      </c>
      <c r="B379" s="57" t="s">
        <v>110</v>
      </c>
      <c r="C379" s="57" t="s">
        <v>20</v>
      </c>
      <c r="D379" s="57" t="s">
        <v>558</v>
      </c>
      <c r="E379" s="57" t="s">
        <v>50</v>
      </c>
      <c r="F379" s="58">
        <v>1</v>
      </c>
      <c r="G379" s="60">
        <v>15.6</v>
      </c>
      <c r="H379" s="59">
        <v>0</v>
      </c>
      <c r="I379" s="60">
        <f>Ordini!$G379/(1+Ordini!$H379)</f>
        <v>15.6</v>
      </c>
      <c r="J379" s="60">
        <v>0</v>
      </c>
      <c r="K379" s="60">
        <v>6.41</v>
      </c>
      <c r="L379" s="60">
        <v>4.7699999999999996</v>
      </c>
      <c r="M379" s="58" t="s">
        <v>22</v>
      </c>
      <c r="N379" s="58"/>
      <c r="O379" s="61">
        <f>Ordini!$K379+Ordini!$J379+Ordini!$L379</f>
        <v>11.18</v>
      </c>
      <c r="P379" s="61">
        <f>Ordini!$I379-Ordini!$O379</f>
        <v>4.42</v>
      </c>
      <c r="Q379" s="58" t="str">
        <f>IF(Ordini!$P379&lt;0,"DA EVITARE","OK")</f>
        <v>OK</v>
      </c>
      <c r="R379" s="58"/>
    </row>
    <row r="380" spans="1:18" s="62" customFormat="1" x14ac:dyDescent="0.25">
      <c r="A380" s="48">
        <v>46168</v>
      </c>
      <c r="B380" s="49" t="s">
        <v>110</v>
      </c>
      <c r="C380" s="49" t="s">
        <v>20</v>
      </c>
      <c r="D380" s="49" t="s">
        <v>559</v>
      </c>
      <c r="E380" s="49" t="s">
        <v>60</v>
      </c>
      <c r="F380" s="50">
        <v>1</v>
      </c>
      <c r="G380" s="52">
        <v>71.759999999999991</v>
      </c>
      <c r="H380" s="51">
        <v>0</v>
      </c>
      <c r="I380" s="52">
        <f>Ordini!$G380/(1+Ordini!$H380)</f>
        <v>71.759999999999991</v>
      </c>
      <c r="J380" s="52">
        <v>0</v>
      </c>
      <c r="K380" s="52">
        <v>39.76</v>
      </c>
      <c r="L380" s="52">
        <v>8.01</v>
      </c>
      <c r="M380" s="50" t="s">
        <v>34</v>
      </c>
      <c r="N380" s="50"/>
      <c r="O380" s="53">
        <f>Ordini!$K380+Ordini!$J380+Ordini!$L380</f>
        <v>47.769999999999996</v>
      </c>
      <c r="P380" s="53">
        <f>Ordini!$I380-Ordini!$O380</f>
        <v>23.989999999999995</v>
      </c>
      <c r="Q380" s="50" t="str">
        <f>IF(Ordini!$P380&lt;0,"DA EVITARE","OK")</f>
        <v>OK</v>
      </c>
      <c r="R380" s="50"/>
    </row>
    <row r="381" spans="1:18" s="55" customFormat="1" x14ac:dyDescent="0.25">
      <c r="A381" s="56">
        <v>46168</v>
      </c>
      <c r="B381" s="57" t="s">
        <v>110</v>
      </c>
      <c r="C381" s="57" t="s">
        <v>20</v>
      </c>
      <c r="D381" s="57" t="s">
        <v>560</v>
      </c>
      <c r="E381" s="57" t="s">
        <v>50</v>
      </c>
      <c r="F381" s="58">
        <v>1</v>
      </c>
      <c r="G381" s="60">
        <v>15.4</v>
      </c>
      <c r="H381" s="59">
        <v>0</v>
      </c>
      <c r="I381" s="60">
        <f>Ordini!$G381/(1+Ordini!$H381)</f>
        <v>15.4</v>
      </c>
      <c r="J381" s="60">
        <v>0</v>
      </c>
      <c r="K381" s="60">
        <v>6.41</v>
      </c>
      <c r="L381" s="60">
        <v>4.7699999999999996</v>
      </c>
      <c r="M381" s="58" t="s">
        <v>22</v>
      </c>
      <c r="N381" s="58"/>
      <c r="O381" s="61">
        <f>Ordini!$K381+Ordini!$J381+Ordini!$L381</f>
        <v>11.18</v>
      </c>
      <c r="P381" s="61">
        <f>Ordini!$I381-Ordini!$O381</f>
        <v>4.2200000000000006</v>
      </c>
      <c r="Q381" s="58" t="str">
        <f>IF(Ordini!$P381&lt;0,"DA EVITARE","OK")</f>
        <v>OK</v>
      </c>
      <c r="R381" s="58"/>
    </row>
    <row r="382" spans="1:18" s="62" customFormat="1" x14ac:dyDescent="0.25">
      <c r="A382" s="48">
        <v>46168</v>
      </c>
      <c r="B382" s="49" t="s">
        <v>109</v>
      </c>
      <c r="C382" s="49" t="s">
        <v>20</v>
      </c>
      <c r="D382" s="49" t="s">
        <v>561</v>
      </c>
      <c r="E382" s="49" t="s">
        <v>60</v>
      </c>
      <c r="F382" s="50">
        <v>1</v>
      </c>
      <c r="G382" s="52">
        <v>87.99</v>
      </c>
      <c r="H382" s="51">
        <v>0</v>
      </c>
      <c r="I382" s="52">
        <f>Ordini!$G382/(1+Ordini!$H382)</f>
        <v>87.99</v>
      </c>
      <c r="J382" s="52">
        <v>14.36</v>
      </c>
      <c r="K382" s="52">
        <v>39.76</v>
      </c>
      <c r="L382" s="52">
        <v>8.01</v>
      </c>
      <c r="M382" s="50" t="s">
        <v>22</v>
      </c>
      <c r="N382" s="50"/>
      <c r="O382" s="53">
        <f>Ordini!$K382+Ordini!$J382+Ordini!$L382</f>
        <v>62.129999999999995</v>
      </c>
      <c r="P382" s="53">
        <f>Ordini!$I382-Ordini!$O382</f>
        <v>25.86</v>
      </c>
      <c r="Q382" s="50" t="str">
        <f>IF(Ordini!$P382&lt;0,"DA EVITARE","OK")</f>
        <v>OK</v>
      </c>
      <c r="R382" s="50"/>
    </row>
    <row r="383" spans="1:18" s="55" customFormat="1" x14ac:dyDescent="0.25">
      <c r="A383" s="56">
        <v>46168</v>
      </c>
      <c r="B383" s="57" t="s">
        <v>109</v>
      </c>
      <c r="C383" s="57" t="s">
        <v>20</v>
      </c>
      <c r="D383" s="57" t="s">
        <v>562</v>
      </c>
      <c r="E383" s="57" t="s">
        <v>60</v>
      </c>
      <c r="F383" s="58">
        <v>1</v>
      </c>
      <c r="G383" s="60">
        <v>87.99</v>
      </c>
      <c r="H383" s="59">
        <v>0</v>
      </c>
      <c r="I383" s="60">
        <f>Ordini!$G383/(1+Ordini!$H383)</f>
        <v>87.99</v>
      </c>
      <c r="J383" s="60">
        <v>14.36</v>
      </c>
      <c r="K383" s="60">
        <v>39.76</v>
      </c>
      <c r="L383" s="60">
        <v>8.01</v>
      </c>
      <c r="M383" s="58" t="s">
        <v>22</v>
      </c>
      <c r="N383" s="58"/>
      <c r="O383" s="61">
        <f>Ordini!$K383+Ordini!$J383+Ordini!$L383</f>
        <v>62.129999999999995</v>
      </c>
      <c r="P383" s="61">
        <f>Ordini!$I383-Ordini!$O383</f>
        <v>25.86</v>
      </c>
      <c r="Q383" s="58" t="str">
        <f>IF(Ordini!$P383&lt;0,"DA EVITARE","OK")</f>
        <v>OK</v>
      </c>
      <c r="R383" s="58"/>
    </row>
    <row r="384" spans="1:18" s="62" customFormat="1" x14ac:dyDescent="0.25">
      <c r="A384" s="48">
        <v>46168</v>
      </c>
      <c r="B384" s="49" t="s">
        <v>109</v>
      </c>
      <c r="C384" s="49" t="s">
        <v>20</v>
      </c>
      <c r="D384" s="49" t="s">
        <v>563</v>
      </c>
      <c r="E384" s="49" t="s">
        <v>60</v>
      </c>
      <c r="F384" s="50">
        <v>1</v>
      </c>
      <c r="G384" s="52">
        <v>87.99</v>
      </c>
      <c r="H384" s="51">
        <v>0</v>
      </c>
      <c r="I384" s="52">
        <f>Ordini!$G384/(1+Ordini!$H384)</f>
        <v>87.99</v>
      </c>
      <c r="J384" s="52">
        <v>14.36</v>
      </c>
      <c r="K384" s="52">
        <v>39.76</v>
      </c>
      <c r="L384" s="52">
        <v>8.01</v>
      </c>
      <c r="M384" s="50" t="s">
        <v>22</v>
      </c>
      <c r="N384" s="50"/>
      <c r="O384" s="53">
        <f>Ordini!$K384+Ordini!$J384+Ordini!$L384</f>
        <v>62.129999999999995</v>
      </c>
      <c r="P384" s="53">
        <f>Ordini!$I384-Ordini!$O384</f>
        <v>25.86</v>
      </c>
      <c r="Q384" s="50" t="str">
        <f>IF(Ordini!$P384&lt;0,"DA EVITARE","OK")</f>
        <v>OK</v>
      </c>
      <c r="R384" s="50"/>
    </row>
    <row r="385" spans="1:18" s="55" customFormat="1" x14ac:dyDescent="0.25">
      <c r="A385" s="56">
        <v>46168</v>
      </c>
      <c r="B385" s="57" t="s">
        <v>109</v>
      </c>
      <c r="C385" s="57" t="s">
        <v>20</v>
      </c>
      <c r="D385" s="57" t="s">
        <v>564</v>
      </c>
      <c r="E385" s="57" t="s">
        <v>60</v>
      </c>
      <c r="F385" s="58">
        <v>1</v>
      </c>
      <c r="G385" s="60">
        <v>87.99</v>
      </c>
      <c r="H385" s="59">
        <v>0</v>
      </c>
      <c r="I385" s="60">
        <f>Ordini!$G385/(1+Ordini!$H385)</f>
        <v>87.99</v>
      </c>
      <c r="J385" s="60">
        <v>14.36</v>
      </c>
      <c r="K385" s="60">
        <v>39.76</v>
      </c>
      <c r="L385" s="60">
        <v>8.01</v>
      </c>
      <c r="M385" s="58" t="s">
        <v>22</v>
      </c>
      <c r="N385" s="58"/>
      <c r="O385" s="61">
        <f>Ordini!$K385+Ordini!$J385+Ordini!$L385</f>
        <v>62.129999999999995</v>
      </c>
      <c r="P385" s="61">
        <f>Ordini!$I385-Ordini!$O385</f>
        <v>25.86</v>
      </c>
      <c r="Q385" s="58" t="str">
        <f>IF(Ordini!$P385&lt;0,"DA EVITARE","OK")</f>
        <v>OK</v>
      </c>
      <c r="R385" s="58"/>
    </row>
    <row r="386" spans="1:18" s="62" customFormat="1" x14ac:dyDescent="0.25">
      <c r="A386" s="48">
        <v>46168</v>
      </c>
      <c r="B386" s="49" t="s">
        <v>109</v>
      </c>
      <c r="C386" s="49" t="s">
        <v>20</v>
      </c>
      <c r="D386" s="49" t="s">
        <v>565</v>
      </c>
      <c r="E386" s="49" t="s">
        <v>60</v>
      </c>
      <c r="F386" s="50">
        <v>1</v>
      </c>
      <c r="G386" s="52">
        <v>87.99</v>
      </c>
      <c r="H386" s="51">
        <v>0</v>
      </c>
      <c r="I386" s="52">
        <f>Ordini!$G386/(1+Ordini!$H386)</f>
        <v>87.99</v>
      </c>
      <c r="J386" s="52">
        <v>14.36</v>
      </c>
      <c r="K386" s="52">
        <v>39.76</v>
      </c>
      <c r="L386" s="52">
        <v>8.01</v>
      </c>
      <c r="M386" s="50" t="s">
        <v>22</v>
      </c>
      <c r="N386" s="50"/>
      <c r="O386" s="53">
        <f>Ordini!$K386+Ordini!$J386+Ordini!$L386</f>
        <v>62.129999999999995</v>
      </c>
      <c r="P386" s="53">
        <f>Ordini!$I386-Ordini!$O386</f>
        <v>25.86</v>
      </c>
      <c r="Q386" s="50" t="str">
        <f>IF(Ordini!$P386&lt;0,"DA EVITARE","OK")</f>
        <v>OK</v>
      </c>
      <c r="R386" s="50"/>
    </row>
    <row r="387" spans="1:18" s="55" customFormat="1" x14ac:dyDescent="0.25">
      <c r="A387" s="56">
        <v>46168</v>
      </c>
      <c r="B387" s="57" t="s">
        <v>109</v>
      </c>
      <c r="C387" s="57" t="s">
        <v>20</v>
      </c>
      <c r="D387" s="57" t="s">
        <v>566</v>
      </c>
      <c r="E387" s="57" t="s">
        <v>60</v>
      </c>
      <c r="F387" s="58">
        <v>1</v>
      </c>
      <c r="G387" s="60">
        <v>87.99</v>
      </c>
      <c r="H387" s="59">
        <v>0</v>
      </c>
      <c r="I387" s="60">
        <f>Ordini!$G387/(1+Ordini!$H387)</f>
        <v>87.99</v>
      </c>
      <c r="J387" s="60">
        <v>14.36</v>
      </c>
      <c r="K387" s="60">
        <v>39.76</v>
      </c>
      <c r="L387" s="60">
        <v>8.01</v>
      </c>
      <c r="M387" s="58" t="s">
        <v>22</v>
      </c>
      <c r="N387" s="58"/>
      <c r="O387" s="61">
        <f>Ordini!$K387+Ordini!$J387+Ordini!$L387</f>
        <v>62.129999999999995</v>
      </c>
      <c r="P387" s="61">
        <f>Ordini!$I387-Ordini!$O387</f>
        <v>25.86</v>
      </c>
      <c r="Q387" s="58" t="str">
        <f>IF(Ordini!$P387&lt;0,"DA EVITARE","OK")</f>
        <v>OK</v>
      </c>
      <c r="R387" s="58"/>
    </row>
    <row r="388" spans="1:18" s="84" customFormat="1" x14ac:dyDescent="0.25">
      <c r="A388" s="78">
        <v>46169</v>
      </c>
      <c r="B388" s="79" t="s">
        <v>110</v>
      </c>
      <c r="C388" s="79" t="s">
        <v>20</v>
      </c>
      <c r="D388" s="79" t="s">
        <v>567</v>
      </c>
      <c r="E388" s="79" t="s">
        <v>412</v>
      </c>
      <c r="F388" s="80">
        <v>1</v>
      </c>
      <c r="G388" s="81"/>
      <c r="H388" s="82">
        <v>0</v>
      </c>
      <c r="I388" s="81">
        <f>Ordini!$G388/(1+Ordini!$H388)</f>
        <v>0</v>
      </c>
      <c r="J388" s="81">
        <v>0</v>
      </c>
      <c r="K388" s="81"/>
      <c r="L388" s="81">
        <f>5.87*2</f>
        <v>11.74</v>
      </c>
      <c r="M388" s="80" t="s">
        <v>24</v>
      </c>
      <c r="N388" s="80">
        <v>1</v>
      </c>
      <c r="O388" s="83">
        <f>Ordini!$K388+Ordini!$J388+Ordini!$L388</f>
        <v>11.74</v>
      </c>
      <c r="P388" s="83">
        <f>Ordini!$I388-Ordini!$O388</f>
        <v>-11.74</v>
      </c>
      <c r="Q388" s="80" t="str">
        <f>IF(Ordini!$P388&lt;0,"DA EVITARE","OK")</f>
        <v>DA EVITARE</v>
      </c>
      <c r="R388" s="80"/>
    </row>
    <row r="389" spans="1:18" s="55" customFormat="1" x14ac:dyDescent="0.25">
      <c r="A389" s="56">
        <v>46169</v>
      </c>
      <c r="B389" s="57" t="s">
        <v>109</v>
      </c>
      <c r="C389" s="57" t="s">
        <v>20</v>
      </c>
      <c r="D389" s="57" t="s">
        <v>568</v>
      </c>
      <c r="E389" s="57" t="s">
        <v>569</v>
      </c>
      <c r="F389" s="58">
        <v>1</v>
      </c>
      <c r="G389" s="60">
        <v>37.090000000000003</v>
      </c>
      <c r="H389" s="59">
        <v>0</v>
      </c>
      <c r="I389" s="60">
        <f>Ordini!$G389/(1+Ordini!$H389)</f>
        <v>37.090000000000003</v>
      </c>
      <c r="J389" s="60">
        <v>6.07</v>
      </c>
      <c r="K389" s="60">
        <v>19.654199999999999</v>
      </c>
      <c r="L389" s="60">
        <v>4.3600000000000003</v>
      </c>
      <c r="M389" s="58" t="s">
        <v>22</v>
      </c>
      <c r="N389" s="58"/>
      <c r="O389" s="61">
        <f>Ordini!$K389+Ordini!$J389+Ordini!$L389</f>
        <v>30.084199999999999</v>
      </c>
      <c r="P389" s="61">
        <f>Ordini!$I389-Ordini!$O389</f>
        <v>7.0058000000000042</v>
      </c>
      <c r="Q389" s="58" t="str">
        <f>IF(Ordini!$P389&lt;0,"DA EVITARE","OK")</f>
        <v>OK</v>
      </c>
      <c r="R389" s="58"/>
    </row>
    <row r="390" spans="1:18" s="62" customFormat="1" x14ac:dyDescent="0.25">
      <c r="A390" s="48">
        <v>46169</v>
      </c>
      <c r="B390" s="49" t="s">
        <v>109</v>
      </c>
      <c r="C390" s="49" t="s">
        <v>20</v>
      </c>
      <c r="D390" s="49" t="s">
        <v>570</v>
      </c>
      <c r="E390" s="49" t="s">
        <v>339</v>
      </c>
      <c r="F390" s="50">
        <v>2</v>
      </c>
      <c r="G390" s="52">
        <v>24</v>
      </c>
      <c r="H390" s="51">
        <v>0</v>
      </c>
      <c r="I390" s="52">
        <f>Ordini!$G390/(1+Ordini!$H390)</f>
        <v>24</v>
      </c>
      <c r="J390" s="52">
        <v>3.92</v>
      </c>
      <c r="K390" s="52">
        <v>15.384199999999998</v>
      </c>
      <c r="L390" s="52">
        <v>4.7699999999999996</v>
      </c>
      <c r="M390" s="50" t="s">
        <v>34</v>
      </c>
      <c r="N390" s="50"/>
      <c r="O390" s="53">
        <f>Ordini!$K390+Ordini!$J390+Ordini!$L390</f>
        <v>24.074199999999998</v>
      </c>
      <c r="P390" s="53">
        <f>Ordini!$I390-Ordini!$O390</f>
        <v>-7.4199999999997601E-2</v>
      </c>
      <c r="Q390" s="50" t="str">
        <f>IF(Ordini!$P390&lt;0,"DA EVITARE","OK")</f>
        <v>DA EVITARE</v>
      </c>
      <c r="R390" s="50"/>
    </row>
    <row r="391" spans="1:18" s="55" customFormat="1" x14ac:dyDescent="0.25">
      <c r="A391" s="56">
        <v>46169</v>
      </c>
      <c r="B391" s="57" t="s">
        <v>109</v>
      </c>
      <c r="C391" s="57" t="s">
        <v>20</v>
      </c>
      <c r="D391" s="57" t="s">
        <v>571</v>
      </c>
      <c r="E391" s="57" t="s">
        <v>77</v>
      </c>
      <c r="F391" s="58">
        <v>1</v>
      </c>
      <c r="G391" s="60">
        <v>59.99</v>
      </c>
      <c r="H391" s="59">
        <v>0</v>
      </c>
      <c r="I391" s="60">
        <f>Ordini!$G391/(1+Ordini!$H391)</f>
        <v>59.99</v>
      </c>
      <c r="J391" s="60">
        <v>11.31</v>
      </c>
      <c r="K391" s="60">
        <v>26.82</v>
      </c>
      <c r="L391" s="60">
        <v>5.87</v>
      </c>
      <c r="M391" s="58" t="s">
        <v>22</v>
      </c>
      <c r="N391" s="58"/>
      <c r="O391" s="61">
        <f>Ordini!$K391+Ordini!$J391+Ordini!$L391</f>
        <v>44</v>
      </c>
      <c r="P391" s="61">
        <f>Ordini!$I391-Ordini!$O391</f>
        <v>15.990000000000002</v>
      </c>
      <c r="Q391" s="58" t="str">
        <f>IF(Ordini!$P391&lt;0,"DA EVITARE","OK")</f>
        <v>OK</v>
      </c>
      <c r="R391" s="58"/>
    </row>
    <row r="392" spans="1:18" s="62" customFormat="1" x14ac:dyDescent="0.25">
      <c r="A392" s="48">
        <v>46169</v>
      </c>
      <c r="B392" s="49" t="s">
        <v>109</v>
      </c>
      <c r="C392" s="49" t="s">
        <v>20</v>
      </c>
      <c r="D392" s="49" t="s">
        <v>572</v>
      </c>
      <c r="E392" s="49" t="s">
        <v>573</v>
      </c>
      <c r="F392" s="50">
        <v>1</v>
      </c>
      <c r="G392" s="52">
        <v>14</v>
      </c>
      <c r="H392" s="51">
        <v>0</v>
      </c>
      <c r="I392" s="52">
        <f>Ordini!$G392/(1+Ordini!$H392)</f>
        <v>14</v>
      </c>
      <c r="J392" s="52">
        <v>1.41</v>
      </c>
      <c r="K392" s="52">
        <v>10.0528</v>
      </c>
      <c r="L392" s="52">
        <v>4.7699999999999996</v>
      </c>
      <c r="M392" s="50" t="s">
        <v>22</v>
      </c>
      <c r="N392" s="50"/>
      <c r="O392" s="53">
        <f>Ordini!$K392+Ordini!$J392+Ordini!$L392</f>
        <v>16.232799999999997</v>
      </c>
      <c r="P392" s="53">
        <f>Ordini!$I392-Ordini!$O392</f>
        <v>-2.2327999999999975</v>
      </c>
      <c r="Q392" s="50" t="str">
        <f>IF(Ordini!$P392&lt;0,"DA EVITARE","OK")</f>
        <v>DA EVITARE</v>
      </c>
      <c r="R392" s="50"/>
    </row>
    <row r="393" spans="1:18" s="55" customFormat="1" x14ac:dyDescent="0.25">
      <c r="A393" s="56">
        <v>46169</v>
      </c>
      <c r="B393" s="57" t="s">
        <v>109</v>
      </c>
      <c r="C393" s="57" t="s">
        <v>20</v>
      </c>
      <c r="D393" s="57" t="s">
        <v>574</v>
      </c>
      <c r="E393" s="57" t="s">
        <v>60</v>
      </c>
      <c r="F393" s="58">
        <v>1</v>
      </c>
      <c r="G393" s="60">
        <v>87.99</v>
      </c>
      <c r="H393" s="59">
        <v>0</v>
      </c>
      <c r="I393" s="60">
        <f>Ordini!$G393/(1+Ordini!$H393)</f>
        <v>87.99</v>
      </c>
      <c r="J393" s="60">
        <v>14.38</v>
      </c>
      <c r="K393" s="60">
        <v>39.76</v>
      </c>
      <c r="L393" s="60">
        <v>8.01</v>
      </c>
      <c r="M393" s="58" t="s">
        <v>22</v>
      </c>
      <c r="N393" s="58"/>
      <c r="O393" s="61">
        <f>Ordini!$K393+Ordini!$J393+Ordini!$L393</f>
        <v>62.15</v>
      </c>
      <c r="P393" s="61">
        <f>Ordini!$I393-Ordini!$O393</f>
        <v>25.839999999999996</v>
      </c>
      <c r="Q393" s="58" t="str">
        <f>IF(Ordini!$P393&lt;0,"DA EVITARE","OK")</f>
        <v>OK</v>
      </c>
      <c r="R393" s="58"/>
    </row>
    <row r="394" spans="1:18" s="62" customFormat="1" x14ac:dyDescent="0.25">
      <c r="A394" s="48">
        <v>46169</v>
      </c>
      <c r="B394" s="49" t="s">
        <v>109</v>
      </c>
      <c r="C394" s="49" t="s">
        <v>20</v>
      </c>
      <c r="D394" s="49" t="s">
        <v>575</v>
      </c>
      <c r="E394" s="49" t="s">
        <v>415</v>
      </c>
      <c r="F394" s="50">
        <v>1</v>
      </c>
      <c r="G394" s="52">
        <v>39.99</v>
      </c>
      <c r="H394" s="51">
        <v>0</v>
      </c>
      <c r="I394" s="52">
        <f>Ordini!$G394/(1+Ordini!$H394)</f>
        <v>39.99</v>
      </c>
      <c r="J394" s="52">
        <v>7.54</v>
      </c>
      <c r="K394" s="52">
        <v>20.85</v>
      </c>
      <c r="L394" s="52">
        <v>5.87</v>
      </c>
      <c r="M394" s="50" t="s">
        <v>22</v>
      </c>
      <c r="N394" s="50"/>
      <c r="O394" s="53">
        <f>Ordini!$K394+Ordini!$J394+Ordini!$L394</f>
        <v>34.26</v>
      </c>
      <c r="P394" s="53">
        <f>Ordini!$I394-Ordini!$O394</f>
        <v>5.730000000000004</v>
      </c>
      <c r="Q394" s="50" t="str">
        <f>IF(Ordini!$P394&lt;0,"DA EVITARE","OK")</f>
        <v>OK</v>
      </c>
      <c r="R394" s="50"/>
    </row>
    <row r="395" spans="1:18" s="55" customFormat="1" x14ac:dyDescent="0.25">
      <c r="A395" s="56">
        <v>46169</v>
      </c>
      <c r="B395" s="57" t="s">
        <v>109</v>
      </c>
      <c r="C395" s="57" t="s">
        <v>20</v>
      </c>
      <c r="D395" s="57" t="s">
        <v>576</v>
      </c>
      <c r="E395" s="57" t="s">
        <v>60</v>
      </c>
      <c r="F395" s="58">
        <v>1</v>
      </c>
      <c r="G395" s="60">
        <v>87.99</v>
      </c>
      <c r="H395" s="59">
        <v>0</v>
      </c>
      <c r="I395" s="60">
        <f>Ordini!$G395/(1+Ordini!$H395)</f>
        <v>87.99</v>
      </c>
      <c r="J395" s="60">
        <v>14.38</v>
      </c>
      <c r="K395" s="60">
        <v>39.76</v>
      </c>
      <c r="L395" s="60">
        <v>8.01</v>
      </c>
      <c r="M395" s="58" t="s">
        <v>22</v>
      </c>
      <c r="N395" s="58"/>
      <c r="O395" s="61">
        <f>Ordini!$K395+Ordini!$J395+Ordini!$L395</f>
        <v>62.15</v>
      </c>
      <c r="P395" s="61">
        <f>Ordini!$I395-Ordini!$O395</f>
        <v>25.839999999999996</v>
      </c>
      <c r="Q395" s="58" t="str">
        <f>IF(Ordini!$P395&lt;0,"DA EVITARE","OK")</f>
        <v>OK</v>
      </c>
      <c r="R395" s="58"/>
    </row>
    <row r="396" spans="1:18" s="62" customFormat="1" x14ac:dyDescent="0.25">
      <c r="A396" s="48">
        <v>46169</v>
      </c>
      <c r="B396" s="49" t="s">
        <v>110</v>
      </c>
      <c r="C396" s="49" t="s">
        <v>20</v>
      </c>
      <c r="D396" s="49" t="s">
        <v>577</v>
      </c>
      <c r="E396" s="49" t="s">
        <v>412</v>
      </c>
      <c r="F396" s="50">
        <v>1</v>
      </c>
      <c r="G396" s="52">
        <v>28.51</v>
      </c>
      <c r="H396" s="51">
        <v>0</v>
      </c>
      <c r="I396" s="52">
        <f>Ordini!$G396/(1+Ordini!$H396)</f>
        <v>28.51</v>
      </c>
      <c r="J396" s="52">
        <v>0</v>
      </c>
      <c r="K396" s="52">
        <v>15.31</v>
      </c>
      <c r="L396" s="52">
        <v>5.87</v>
      </c>
      <c r="M396" s="50" t="s">
        <v>34</v>
      </c>
      <c r="N396" s="50"/>
      <c r="O396" s="53">
        <f>Ordini!$K396+Ordini!$J396+Ordini!$L396</f>
        <v>21.18</v>
      </c>
      <c r="P396" s="53">
        <f>Ordini!$I396-Ordini!$O396</f>
        <v>7.3300000000000018</v>
      </c>
      <c r="Q396" s="50" t="str">
        <f>IF(Ordini!$P396&lt;0,"DA EVITARE","OK")</f>
        <v>OK</v>
      </c>
      <c r="R396" s="50"/>
    </row>
    <row r="397" spans="1:18" s="55" customFormat="1" x14ac:dyDescent="0.25">
      <c r="A397" s="56">
        <v>46169</v>
      </c>
      <c r="B397" s="57" t="s">
        <v>109</v>
      </c>
      <c r="C397" s="57" t="s">
        <v>20</v>
      </c>
      <c r="D397" s="57" t="s">
        <v>578</v>
      </c>
      <c r="E397" s="57" t="s">
        <v>415</v>
      </c>
      <c r="F397" s="58">
        <v>1</v>
      </c>
      <c r="G397" s="60">
        <v>39.99</v>
      </c>
      <c r="H397" s="59">
        <v>0</v>
      </c>
      <c r="I397" s="60">
        <f>Ordini!$G397/(1+Ordini!$H397)</f>
        <v>39.99</v>
      </c>
      <c r="J397" s="60">
        <v>7.54</v>
      </c>
      <c r="K397" s="60">
        <v>20.85</v>
      </c>
      <c r="L397" s="60">
        <v>5.87</v>
      </c>
      <c r="M397" s="58" t="s">
        <v>22</v>
      </c>
      <c r="N397" s="58"/>
      <c r="O397" s="61">
        <f>Ordini!$K397+Ordini!$J397+Ordini!$L397</f>
        <v>34.26</v>
      </c>
      <c r="P397" s="61">
        <f>Ordini!$I397-Ordini!$O397</f>
        <v>5.730000000000004</v>
      </c>
      <c r="Q397" s="58" t="str">
        <f>IF(Ordini!$P397&lt;0,"DA EVITARE","OK")</f>
        <v>OK</v>
      </c>
      <c r="R397" s="58"/>
    </row>
    <row r="398" spans="1:18" s="62" customFormat="1" x14ac:dyDescent="0.25">
      <c r="A398" s="48">
        <v>46169</v>
      </c>
      <c r="B398" s="49" t="s">
        <v>109</v>
      </c>
      <c r="C398" s="49" t="s">
        <v>20</v>
      </c>
      <c r="D398" s="49" t="s">
        <v>579</v>
      </c>
      <c r="E398" s="49" t="s">
        <v>77</v>
      </c>
      <c r="F398" s="50">
        <v>1</v>
      </c>
      <c r="G398" s="52">
        <v>59.99</v>
      </c>
      <c r="H398" s="51">
        <v>0</v>
      </c>
      <c r="I398" s="52">
        <f>Ordini!$G398/(1+Ordini!$H398)</f>
        <v>59.99</v>
      </c>
      <c r="J398" s="52">
        <v>11.31</v>
      </c>
      <c r="K398" s="52">
        <v>26.82</v>
      </c>
      <c r="L398" s="52">
        <v>5.87</v>
      </c>
      <c r="M398" s="50" t="s">
        <v>22</v>
      </c>
      <c r="N398" s="50"/>
      <c r="O398" s="53">
        <f>Ordini!$K398+Ordini!$J398+Ordini!$L398</f>
        <v>44</v>
      </c>
      <c r="P398" s="53">
        <f>Ordini!$I398-Ordini!$O398</f>
        <v>15.990000000000002</v>
      </c>
      <c r="Q398" s="50" t="str">
        <f>IF(Ordini!$P398&lt;0,"DA EVITARE","OK")</f>
        <v>OK</v>
      </c>
      <c r="R398" s="50"/>
    </row>
    <row r="399" spans="1:18" s="55" customFormat="1" x14ac:dyDescent="0.25">
      <c r="A399" s="56">
        <v>46169</v>
      </c>
      <c r="B399" s="57" t="s">
        <v>109</v>
      </c>
      <c r="C399" s="57" t="s">
        <v>20</v>
      </c>
      <c r="D399" s="57" t="s">
        <v>580</v>
      </c>
      <c r="E399" s="57" t="s">
        <v>347</v>
      </c>
      <c r="F399" s="58">
        <v>1</v>
      </c>
      <c r="G399" s="60">
        <v>14.9</v>
      </c>
      <c r="H399" s="59">
        <v>0</v>
      </c>
      <c r="I399" s="60">
        <f>Ordini!$G399/(1+Ordini!$H399)</f>
        <v>14.9</v>
      </c>
      <c r="J399" s="60">
        <v>1.51</v>
      </c>
      <c r="K399" s="60">
        <v>6</v>
      </c>
      <c r="L399" s="60">
        <v>4.7699999999999996</v>
      </c>
      <c r="M399" s="58" t="s">
        <v>22</v>
      </c>
      <c r="N399" s="58"/>
      <c r="O399" s="61">
        <f>Ordini!$K399+Ordini!$J399+Ordini!$L399</f>
        <v>12.28</v>
      </c>
      <c r="P399" s="61">
        <f>Ordini!$I399-Ordini!$O399</f>
        <v>2.620000000000001</v>
      </c>
      <c r="Q399" s="58" t="str">
        <f>IF(Ordini!$P399&lt;0,"DA EVITARE","OK")</f>
        <v>OK</v>
      </c>
      <c r="R399" s="58"/>
    </row>
    <row r="400" spans="1:18" s="62" customFormat="1" x14ac:dyDescent="0.25">
      <c r="A400" s="48">
        <v>46169</v>
      </c>
      <c r="B400" s="49" t="s">
        <v>111</v>
      </c>
      <c r="C400" s="49" t="s">
        <v>20</v>
      </c>
      <c r="D400" s="49" t="s">
        <v>605</v>
      </c>
      <c r="E400" s="49" t="s">
        <v>411</v>
      </c>
      <c r="F400" s="50">
        <v>1</v>
      </c>
      <c r="G400" s="52">
        <v>22.8</v>
      </c>
      <c r="H400" s="51">
        <v>0</v>
      </c>
      <c r="I400" s="52">
        <f>Ordini!$G400/(1+Ordini!$H400)</f>
        <v>22.8</v>
      </c>
      <c r="J400" s="52">
        <v>2.37</v>
      </c>
      <c r="K400" s="52">
        <v>12.64</v>
      </c>
      <c r="L400" s="52">
        <v>4.8499999999999996</v>
      </c>
      <c r="M400" s="50" t="s">
        <v>22</v>
      </c>
      <c r="N400" s="50"/>
      <c r="O400" s="53">
        <f>Ordini!$K400+Ordini!$J400+Ordini!$L400</f>
        <v>19.86</v>
      </c>
      <c r="P400" s="53">
        <f>Ordini!$I400-Ordini!$O400</f>
        <v>2.9400000000000013</v>
      </c>
      <c r="Q400" s="50" t="str">
        <f>IF(Ordini!$P400&lt;0,"DA EVITARE","OK")</f>
        <v>OK</v>
      </c>
      <c r="R400" s="50"/>
    </row>
    <row r="401" spans="1:18" s="55" customFormat="1" x14ac:dyDescent="0.25">
      <c r="A401" s="56">
        <v>46169</v>
      </c>
      <c r="B401" s="57" t="s">
        <v>111</v>
      </c>
      <c r="C401" s="57" t="s">
        <v>20</v>
      </c>
      <c r="D401" s="57" t="s">
        <v>606</v>
      </c>
      <c r="E401" s="57" t="s">
        <v>77</v>
      </c>
      <c r="F401" s="58">
        <v>1</v>
      </c>
      <c r="G401" s="60">
        <v>56.99</v>
      </c>
      <c r="H401" s="59">
        <v>0</v>
      </c>
      <c r="I401" s="60">
        <f>Ordini!$G401/(1+Ordini!$H401)</f>
        <v>56.99</v>
      </c>
      <c r="J401" s="60">
        <v>5.39</v>
      </c>
      <c r="K401" s="60">
        <v>26.82</v>
      </c>
      <c r="L401" s="60">
        <v>5.87</v>
      </c>
      <c r="M401" s="58" t="s">
        <v>22</v>
      </c>
      <c r="N401" s="58"/>
      <c r="O401" s="61">
        <f>Ordini!$K401+Ordini!$J401+Ordini!$L401</f>
        <v>38.08</v>
      </c>
      <c r="P401" s="61">
        <f>Ordini!$I401-Ordini!$O401</f>
        <v>18.910000000000004</v>
      </c>
      <c r="Q401" s="58" t="str">
        <f>IF(Ordini!$P401&lt;0,"DA EVITARE","OK")</f>
        <v>OK</v>
      </c>
      <c r="R401" s="58"/>
    </row>
    <row r="402" spans="1:18" s="62" customFormat="1" x14ac:dyDescent="0.25">
      <c r="A402" s="48">
        <v>46169</v>
      </c>
      <c r="B402" s="49" t="s">
        <v>111</v>
      </c>
      <c r="C402" s="49" t="s">
        <v>20</v>
      </c>
      <c r="D402" s="49" t="s">
        <v>607</v>
      </c>
      <c r="E402" s="49" t="s">
        <v>411</v>
      </c>
      <c r="F402" s="50">
        <v>1</v>
      </c>
      <c r="G402" s="52">
        <v>22.8</v>
      </c>
      <c r="H402" s="51">
        <v>0</v>
      </c>
      <c r="I402" s="52">
        <f>Ordini!$G402/(1+Ordini!$H402)</f>
        <v>22.8</v>
      </c>
      <c r="J402" s="52">
        <v>2.37</v>
      </c>
      <c r="K402" s="52">
        <v>12.64</v>
      </c>
      <c r="L402" s="52">
        <v>4.8499999999999996</v>
      </c>
      <c r="M402" s="50" t="s">
        <v>22</v>
      </c>
      <c r="N402" s="50"/>
      <c r="O402" s="53">
        <f>Ordini!$K402+Ordini!$J402+Ordini!$L402</f>
        <v>19.86</v>
      </c>
      <c r="P402" s="53">
        <f>Ordini!$I402-Ordini!$O402</f>
        <v>2.9400000000000013</v>
      </c>
      <c r="Q402" s="50" t="str">
        <f>IF(Ordini!$P402&lt;0,"DA EVITARE","OK")</f>
        <v>OK</v>
      </c>
      <c r="R402" s="50"/>
    </row>
    <row r="403" spans="1:18" s="55" customFormat="1" x14ac:dyDescent="0.25">
      <c r="A403" s="56">
        <v>46169</v>
      </c>
      <c r="B403" s="57" t="s">
        <v>111</v>
      </c>
      <c r="C403" s="57" t="s">
        <v>20</v>
      </c>
      <c r="D403" s="57" t="s">
        <v>608</v>
      </c>
      <c r="E403" s="57" t="s">
        <v>411</v>
      </c>
      <c r="F403" s="58">
        <v>3</v>
      </c>
      <c r="G403" s="60">
        <f>68.4</f>
        <v>68.400000000000006</v>
      </c>
      <c r="H403" s="59">
        <v>0</v>
      </c>
      <c r="I403" s="60">
        <f>Ordini!$G403/(1+Ordini!$H403)</f>
        <v>68.400000000000006</v>
      </c>
      <c r="J403" s="60">
        <v>2.37</v>
      </c>
      <c r="K403" s="60">
        <v>37.92</v>
      </c>
      <c r="L403" s="60">
        <v>4.8499999999999996</v>
      </c>
      <c r="M403" s="58" t="s">
        <v>22</v>
      </c>
      <c r="N403" s="58"/>
      <c r="O403" s="61">
        <f>Ordini!$K403+Ordini!$J403+Ordini!$L403</f>
        <v>45.14</v>
      </c>
      <c r="P403" s="61">
        <f>Ordini!$I403-Ordini!$O403</f>
        <v>23.260000000000005</v>
      </c>
      <c r="Q403" s="58" t="str">
        <f>IF(Ordini!$P403&lt;0,"DA EVITARE","OK")</f>
        <v>OK</v>
      </c>
      <c r="R403" s="58"/>
    </row>
    <row r="404" spans="1:18" s="62" customFormat="1" x14ac:dyDescent="0.25">
      <c r="A404" s="48">
        <v>46170</v>
      </c>
      <c r="B404" s="49" t="s">
        <v>111</v>
      </c>
      <c r="C404" s="49" t="s">
        <v>20</v>
      </c>
      <c r="D404" s="49" t="s">
        <v>609</v>
      </c>
      <c r="E404" s="49" t="s">
        <v>60</v>
      </c>
      <c r="F404" s="50">
        <v>1</v>
      </c>
      <c r="G404" s="52">
        <v>78.75</v>
      </c>
      <c r="H404" s="51">
        <v>0</v>
      </c>
      <c r="I404" s="52">
        <f>Ordini!$G404/(1+Ordini!$H404)</f>
        <v>78.75</v>
      </c>
      <c r="J404" s="52">
        <v>7.33</v>
      </c>
      <c r="K404" s="52">
        <v>39.76</v>
      </c>
      <c r="L404" s="52">
        <v>8.01</v>
      </c>
      <c r="M404" s="50" t="s">
        <v>22</v>
      </c>
      <c r="N404" s="50"/>
      <c r="O404" s="53">
        <f>Ordini!$K404+Ordini!$J404+Ordini!$L404</f>
        <v>55.099999999999994</v>
      </c>
      <c r="P404" s="53">
        <f>Ordini!$I404-Ordini!$O404</f>
        <v>23.650000000000006</v>
      </c>
      <c r="Q404" s="50" t="str">
        <f>IF(Ordini!$P404&lt;0,"DA EVITARE","OK")</f>
        <v>OK</v>
      </c>
      <c r="R404" s="50"/>
    </row>
    <row r="405" spans="1:18" s="55" customFormat="1" x14ac:dyDescent="0.25">
      <c r="A405" s="56">
        <v>46170</v>
      </c>
      <c r="B405" s="57" t="s">
        <v>111</v>
      </c>
      <c r="C405" s="57" t="s">
        <v>20</v>
      </c>
      <c r="D405" s="57" t="s">
        <v>610</v>
      </c>
      <c r="E405" s="57" t="s">
        <v>72</v>
      </c>
      <c r="F405" s="58">
        <v>1</v>
      </c>
      <c r="G405" s="60">
        <v>26.5</v>
      </c>
      <c r="H405" s="59">
        <v>0</v>
      </c>
      <c r="I405" s="60">
        <f>Ordini!$G405/(1+Ordini!$H405)</f>
        <v>26.5</v>
      </c>
      <c r="J405" s="60">
        <v>4.1500000000000004</v>
      </c>
      <c r="K405" s="60">
        <v>6.18</v>
      </c>
      <c r="L405" s="60">
        <v>4.7699999999999996</v>
      </c>
      <c r="M405" s="58" t="s">
        <v>22</v>
      </c>
      <c r="N405" s="58"/>
      <c r="O405" s="61">
        <f>Ordini!$K405+Ordini!$J405+Ordini!$L405</f>
        <v>15.1</v>
      </c>
      <c r="P405" s="61">
        <f>Ordini!$I405-Ordini!$O405</f>
        <v>11.4</v>
      </c>
      <c r="Q405" s="58" t="str">
        <f>IF(Ordini!$P405&lt;0,"DA EVITARE","OK")</f>
        <v>OK</v>
      </c>
      <c r="R405" s="58"/>
    </row>
    <row r="406" spans="1:18" s="55" customFormat="1" x14ac:dyDescent="0.25">
      <c r="A406" s="56">
        <v>46170</v>
      </c>
      <c r="B406" s="57" t="s">
        <v>110</v>
      </c>
      <c r="C406" s="57" t="s">
        <v>20</v>
      </c>
      <c r="D406" s="57" t="s">
        <v>581</v>
      </c>
      <c r="E406" s="57" t="s">
        <v>63</v>
      </c>
      <c r="F406" s="58">
        <v>1</v>
      </c>
      <c r="G406" s="60">
        <v>85.81</v>
      </c>
      <c r="H406" s="59">
        <v>0</v>
      </c>
      <c r="I406" s="60">
        <f>Ordini!$G406/(1+Ordini!$H406)</f>
        <v>85.81</v>
      </c>
      <c r="J406" s="60">
        <v>0</v>
      </c>
      <c r="K406" s="60">
        <v>42.629999999999995</v>
      </c>
      <c r="L406" s="60">
        <v>8.4</v>
      </c>
      <c r="M406" s="58" t="s">
        <v>34</v>
      </c>
      <c r="N406" s="58"/>
      <c r="O406" s="61">
        <f>Ordini!$K406+Ordini!$J406+Ordini!$L406</f>
        <v>51.029999999999994</v>
      </c>
      <c r="P406" s="61">
        <f>Ordini!$I406-Ordini!$O406</f>
        <v>34.780000000000008</v>
      </c>
      <c r="Q406" s="58" t="str">
        <f>IF(Ordini!$P406&lt;0,"DA EVITARE","OK")</f>
        <v>OK</v>
      </c>
      <c r="R406" s="58"/>
    </row>
    <row r="407" spans="1:18" s="62" customFormat="1" x14ac:dyDescent="0.25">
      <c r="A407" s="48">
        <v>46170</v>
      </c>
      <c r="B407" s="49" t="s">
        <v>110</v>
      </c>
      <c r="C407" s="49" t="s">
        <v>20</v>
      </c>
      <c r="D407" s="49" t="s">
        <v>582</v>
      </c>
      <c r="E407" s="49" t="s">
        <v>60</v>
      </c>
      <c r="F407" s="50">
        <v>1</v>
      </c>
      <c r="G407" s="52">
        <v>76.27</v>
      </c>
      <c r="H407" s="51">
        <v>0</v>
      </c>
      <c r="I407" s="52">
        <f>Ordini!$G407/(1+Ordini!$H407)</f>
        <v>76.27</v>
      </c>
      <c r="J407" s="52">
        <v>0</v>
      </c>
      <c r="K407" s="52">
        <v>39.76</v>
      </c>
      <c r="L407" s="52">
        <v>8.01</v>
      </c>
      <c r="M407" s="50" t="s">
        <v>34</v>
      </c>
      <c r="N407" s="50"/>
      <c r="O407" s="53">
        <f>Ordini!$K407+Ordini!$J407+Ordini!$L407</f>
        <v>47.769999999999996</v>
      </c>
      <c r="P407" s="53">
        <f>Ordini!$I407-Ordini!$O407</f>
        <v>28.5</v>
      </c>
      <c r="Q407" s="50" t="str">
        <f>IF(Ordini!$P407&lt;0,"DA EVITARE","OK")</f>
        <v>OK</v>
      </c>
      <c r="R407" s="50"/>
    </row>
    <row r="408" spans="1:18" s="55" customFormat="1" x14ac:dyDescent="0.25">
      <c r="A408" s="56">
        <v>46170</v>
      </c>
      <c r="B408" s="57" t="s">
        <v>110</v>
      </c>
      <c r="C408" s="57" t="s">
        <v>20</v>
      </c>
      <c r="D408" s="57" t="s">
        <v>583</v>
      </c>
      <c r="E408" s="57" t="s">
        <v>73</v>
      </c>
      <c r="F408" s="58">
        <v>1</v>
      </c>
      <c r="G408" s="60">
        <v>34.659999999999997</v>
      </c>
      <c r="H408" s="59">
        <v>0</v>
      </c>
      <c r="I408" s="60">
        <f>Ordini!$G408/(1+Ordini!$H408)</f>
        <v>34.659999999999997</v>
      </c>
      <c r="J408" s="60">
        <v>0</v>
      </c>
      <c r="K408" s="60">
        <v>14.47</v>
      </c>
      <c r="L408" s="60">
        <v>7.1</v>
      </c>
      <c r="M408" s="58" t="s">
        <v>34</v>
      </c>
      <c r="N408" s="58"/>
      <c r="O408" s="61">
        <f>Ordini!$K408+Ordini!$J408+Ordini!$L408</f>
        <v>21.57</v>
      </c>
      <c r="P408" s="61">
        <f>Ordini!$I408-Ordini!$O408</f>
        <v>13.089999999999996</v>
      </c>
      <c r="Q408" s="58" t="str">
        <f>IF(Ordini!$P408&lt;0,"DA EVITARE","OK")</f>
        <v>OK</v>
      </c>
      <c r="R408" s="58"/>
    </row>
    <row r="409" spans="1:18" s="62" customFormat="1" x14ac:dyDescent="0.25">
      <c r="A409" s="48">
        <v>46170</v>
      </c>
      <c r="B409" s="49" t="s">
        <v>109</v>
      </c>
      <c r="C409" s="49" t="s">
        <v>20</v>
      </c>
      <c r="D409" s="49" t="s">
        <v>584</v>
      </c>
      <c r="E409" s="49" t="s">
        <v>60</v>
      </c>
      <c r="F409" s="50">
        <v>1</v>
      </c>
      <c r="G409" s="52">
        <v>87.99</v>
      </c>
      <c r="H409" s="51">
        <v>0</v>
      </c>
      <c r="I409" s="52">
        <f>Ordini!$G409/(1+Ordini!$H409)</f>
        <v>87.99</v>
      </c>
      <c r="J409" s="52">
        <v>14.36</v>
      </c>
      <c r="K409" s="52">
        <v>39.76</v>
      </c>
      <c r="L409" s="52">
        <v>8.01</v>
      </c>
      <c r="M409" s="50" t="s">
        <v>22</v>
      </c>
      <c r="N409" s="50"/>
      <c r="O409" s="53">
        <f>Ordini!$K409+Ordini!$J409+Ordini!$L409</f>
        <v>62.129999999999995</v>
      </c>
      <c r="P409" s="53">
        <f>Ordini!$I409-Ordini!$O409</f>
        <v>25.86</v>
      </c>
      <c r="Q409" s="50" t="str">
        <f>IF(Ordini!$P409&lt;0,"DA EVITARE","OK")</f>
        <v>OK</v>
      </c>
      <c r="R409" s="50"/>
    </row>
    <row r="410" spans="1:18" s="55" customFormat="1" x14ac:dyDescent="0.25">
      <c r="A410" s="56">
        <v>46170</v>
      </c>
      <c r="B410" s="57" t="s">
        <v>109</v>
      </c>
      <c r="C410" s="57" t="s">
        <v>20</v>
      </c>
      <c r="D410" s="57" t="s">
        <v>585</v>
      </c>
      <c r="E410" s="57" t="s">
        <v>60</v>
      </c>
      <c r="F410" s="58">
        <v>1</v>
      </c>
      <c r="G410" s="60">
        <v>87.99</v>
      </c>
      <c r="H410" s="59">
        <v>0</v>
      </c>
      <c r="I410" s="60">
        <f>Ordini!$G410/(1+Ordini!$H410)</f>
        <v>87.99</v>
      </c>
      <c r="J410" s="60">
        <v>14.36</v>
      </c>
      <c r="K410" s="60">
        <v>39.76</v>
      </c>
      <c r="L410" s="60">
        <v>8.01</v>
      </c>
      <c r="M410" s="58" t="s">
        <v>22</v>
      </c>
      <c r="N410" s="58"/>
      <c r="O410" s="61">
        <f>Ordini!$K410+Ordini!$J410+Ordini!$L410</f>
        <v>62.129999999999995</v>
      </c>
      <c r="P410" s="61">
        <f>Ordini!$I410-Ordini!$O410</f>
        <v>25.86</v>
      </c>
      <c r="Q410" s="58" t="str">
        <f>IF(Ordini!$P410&lt;0,"DA EVITARE","OK")</f>
        <v>OK</v>
      </c>
      <c r="R410" s="58"/>
    </row>
    <row r="411" spans="1:18" s="62" customFormat="1" x14ac:dyDescent="0.25">
      <c r="A411" s="48">
        <v>46170</v>
      </c>
      <c r="B411" s="49" t="s">
        <v>363</v>
      </c>
      <c r="C411" s="49" t="s">
        <v>20</v>
      </c>
      <c r="D411" s="49" t="s">
        <v>603</v>
      </c>
      <c r="E411" s="49" t="s">
        <v>44</v>
      </c>
      <c r="F411" s="50">
        <v>1</v>
      </c>
      <c r="G411" s="52">
        <v>51.99</v>
      </c>
      <c r="H411" s="51">
        <v>0</v>
      </c>
      <c r="I411" s="52">
        <f>Ordini!$G411/(1+Ordini!$H411)</f>
        <v>51.99</v>
      </c>
      <c r="J411" s="52">
        <v>6.24</v>
      </c>
      <c r="K411" s="52">
        <v>20.970000000000002</v>
      </c>
      <c r="L411" s="52">
        <v>4.8499999999999996</v>
      </c>
      <c r="M411" s="50" t="s">
        <v>34</v>
      </c>
      <c r="N411" s="50"/>
      <c r="O411" s="53">
        <f>Ordini!$K411+Ordini!$J411+Ordini!$L411</f>
        <v>32.06</v>
      </c>
      <c r="P411" s="53">
        <f>Ordini!$I411-Ordini!$O411</f>
        <v>19.93</v>
      </c>
      <c r="Q411" s="50" t="str">
        <f>IF(Ordini!$P411&lt;0,"DA EVITARE","OK")</f>
        <v>OK</v>
      </c>
      <c r="R411" s="50"/>
    </row>
    <row r="412" spans="1:18" s="55" customFormat="1" x14ac:dyDescent="0.25">
      <c r="A412" s="56">
        <v>46170</v>
      </c>
      <c r="B412" s="57" t="s">
        <v>363</v>
      </c>
      <c r="C412" s="57" t="s">
        <v>20</v>
      </c>
      <c r="D412" s="57" t="s">
        <v>604</v>
      </c>
      <c r="E412" s="57" t="s">
        <v>44</v>
      </c>
      <c r="F412" s="58">
        <v>1</v>
      </c>
      <c r="G412" s="60">
        <v>51.99</v>
      </c>
      <c r="H412" s="59">
        <v>0</v>
      </c>
      <c r="I412" s="60">
        <f>Ordini!$G412/(1+Ordini!$H412)</f>
        <v>51.99</v>
      </c>
      <c r="J412" s="60">
        <v>6.24</v>
      </c>
      <c r="K412" s="60">
        <v>20.970000000000002</v>
      </c>
      <c r="L412" s="60">
        <v>4.8499999999999996</v>
      </c>
      <c r="M412" s="58" t="s">
        <v>34</v>
      </c>
      <c r="N412" s="58"/>
      <c r="O412" s="61">
        <f>Ordini!$K412+Ordini!$J412+Ordini!$L412</f>
        <v>32.06</v>
      </c>
      <c r="P412" s="61">
        <f>Ordini!$I412-Ordini!$O412</f>
        <v>19.93</v>
      </c>
      <c r="Q412" s="58" t="str">
        <f>IF(Ordini!$P412&lt;0,"DA EVITARE","OK")</f>
        <v>OK</v>
      </c>
      <c r="R412" s="58"/>
    </row>
    <row r="413" spans="1:18" s="62" customFormat="1" x14ac:dyDescent="0.25">
      <c r="A413" s="48">
        <v>46171</v>
      </c>
      <c r="B413" s="49" t="s">
        <v>111</v>
      </c>
      <c r="C413" s="49" t="s">
        <v>20</v>
      </c>
      <c r="D413" s="49" t="s">
        <v>611</v>
      </c>
      <c r="E413" s="49" t="s">
        <v>411</v>
      </c>
      <c r="F413" s="50">
        <v>1</v>
      </c>
      <c r="G413" s="52">
        <v>22.8</v>
      </c>
      <c r="H413" s="51">
        <v>0</v>
      </c>
      <c r="I413" s="52">
        <f>Ordini!$G413/(1+Ordini!$H413)</f>
        <v>22.8</v>
      </c>
      <c r="J413" s="52">
        <v>2.37</v>
      </c>
      <c r="K413" s="52">
        <v>12.64</v>
      </c>
      <c r="L413" s="52">
        <v>4.8499999999999996</v>
      </c>
      <c r="M413" s="50" t="s">
        <v>22</v>
      </c>
      <c r="N413" s="50"/>
      <c r="O413" s="53">
        <f>Ordini!$K413+Ordini!$J413+Ordini!$L413</f>
        <v>19.86</v>
      </c>
      <c r="P413" s="53">
        <f>Ordini!$I413-Ordini!$O413</f>
        <v>2.9400000000000013</v>
      </c>
      <c r="Q413" s="50" t="str">
        <f>IF(Ordini!$P413&lt;0,"DA EVITARE","OK")</f>
        <v>OK</v>
      </c>
      <c r="R413" s="50"/>
    </row>
    <row r="414" spans="1:18" s="55" customFormat="1" x14ac:dyDescent="0.25">
      <c r="A414" s="56">
        <v>46171</v>
      </c>
      <c r="B414" s="57" t="s">
        <v>111</v>
      </c>
      <c r="C414" s="57" t="s">
        <v>20</v>
      </c>
      <c r="D414" s="57" t="s">
        <v>612</v>
      </c>
      <c r="E414" s="57" t="s">
        <v>44</v>
      </c>
      <c r="F414" s="58">
        <v>1</v>
      </c>
      <c r="G414" s="60">
        <v>43.73</v>
      </c>
      <c r="H414" s="59">
        <v>0</v>
      </c>
      <c r="I414" s="60">
        <f>Ordini!$G414/(1+Ordini!$H414)</f>
        <v>43.73</v>
      </c>
      <c r="J414" s="60">
        <v>4.21</v>
      </c>
      <c r="K414" s="60">
        <v>20.970000000000002</v>
      </c>
      <c r="L414" s="60">
        <v>4.8499999999999996</v>
      </c>
      <c r="M414" s="58" t="s">
        <v>22</v>
      </c>
      <c r="N414" s="58"/>
      <c r="O414" s="61">
        <f>Ordini!$K414+Ordini!$J414+Ordini!$L414</f>
        <v>30.03</v>
      </c>
      <c r="P414" s="61">
        <f>Ordini!$I414-Ordini!$O414</f>
        <v>13.699999999999996</v>
      </c>
      <c r="Q414" s="58" t="str">
        <f>IF(Ordini!$P414&lt;0,"DA EVITARE","OK")</f>
        <v>OK</v>
      </c>
      <c r="R414" s="58"/>
    </row>
    <row r="415" spans="1:18" s="62" customFormat="1" x14ac:dyDescent="0.25">
      <c r="A415" s="48">
        <v>46171</v>
      </c>
      <c r="B415" s="49" t="s">
        <v>111</v>
      </c>
      <c r="C415" s="49" t="s">
        <v>20</v>
      </c>
      <c r="D415" s="49" t="s">
        <v>613</v>
      </c>
      <c r="E415" s="49" t="s">
        <v>54</v>
      </c>
      <c r="F415" s="50">
        <v>1</v>
      </c>
      <c r="G415" s="52">
        <v>14.24</v>
      </c>
      <c r="H415" s="51">
        <v>0</v>
      </c>
      <c r="I415" s="52">
        <f>Ordini!$G415/(1+Ordini!$H415)</f>
        <v>14.24</v>
      </c>
      <c r="J415" s="52">
        <v>2.25</v>
      </c>
      <c r="K415" s="52">
        <v>10.440000000000001</v>
      </c>
      <c r="L415" s="52">
        <v>4.7699999999999996</v>
      </c>
      <c r="M415" s="50" t="s">
        <v>22</v>
      </c>
      <c r="N415" s="50"/>
      <c r="O415" s="53">
        <f>Ordini!$K415+Ordini!$J415+Ordini!$L415</f>
        <v>17.46</v>
      </c>
      <c r="P415" s="53">
        <f>Ordini!$I415-Ordini!$O415</f>
        <v>-3.2200000000000006</v>
      </c>
      <c r="Q415" s="50" t="str">
        <f>IF(Ordini!$P415&lt;0,"DA EVITARE","OK")</f>
        <v>DA EVITARE</v>
      </c>
      <c r="R415" s="50"/>
    </row>
    <row r="416" spans="1:18" s="55" customFormat="1" x14ac:dyDescent="0.25">
      <c r="A416" s="56">
        <v>46171</v>
      </c>
      <c r="B416" s="57" t="s">
        <v>110</v>
      </c>
      <c r="C416" s="57" t="s">
        <v>20</v>
      </c>
      <c r="D416" s="57" t="s">
        <v>586</v>
      </c>
      <c r="E416" s="57" t="s">
        <v>412</v>
      </c>
      <c r="F416" s="58">
        <v>1</v>
      </c>
      <c r="G416" s="60">
        <v>28.51</v>
      </c>
      <c r="H416" s="59">
        <v>0</v>
      </c>
      <c r="I416" s="60">
        <f>Ordini!$G416/(1+Ordini!$H416)</f>
        <v>28.51</v>
      </c>
      <c r="J416" s="60">
        <v>0</v>
      </c>
      <c r="K416" s="60">
        <v>15.31</v>
      </c>
      <c r="L416" s="60">
        <v>5.87</v>
      </c>
      <c r="M416" s="58" t="s">
        <v>34</v>
      </c>
      <c r="N416" s="58"/>
      <c r="O416" s="61">
        <f>Ordini!$K416+Ordini!$J416+Ordini!$L416</f>
        <v>21.18</v>
      </c>
      <c r="P416" s="61">
        <f>Ordini!$I416-Ordini!$O416</f>
        <v>7.3300000000000018</v>
      </c>
      <c r="Q416" s="58" t="str">
        <f>IF(Ordini!$P416&lt;0,"DA EVITARE","OK")</f>
        <v>OK</v>
      </c>
      <c r="R416" s="58"/>
    </row>
    <row r="417" spans="1:18" s="62" customFormat="1" x14ac:dyDescent="0.25">
      <c r="A417" s="48">
        <v>46171</v>
      </c>
      <c r="B417" s="49" t="s">
        <v>110</v>
      </c>
      <c r="C417" s="49" t="s">
        <v>20</v>
      </c>
      <c r="D417" s="49" t="s">
        <v>587</v>
      </c>
      <c r="E417" s="49" t="s">
        <v>72</v>
      </c>
      <c r="F417" s="50">
        <v>1</v>
      </c>
      <c r="G417" s="52">
        <v>20.350000000000001</v>
      </c>
      <c r="H417" s="51">
        <v>0</v>
      </c>
      <c r="I417" s="52">
        <f>Ordini!$G417/(1+Ordini!$H417)</f>
        <v>20.350000000000001</v>
      </c>
      <c r="J417" s="52">
        <v>0</v>
      </c>
      <c r="K417" s="52">
        <v>6.18</v>
      </c>
      <c r="L417" s="52">
        <v>4.7699999999999996</v>
      </c>
      <c r="M417" s="50" t="s">
        <v>34</v>
      </c>
      <c r="N417" s="50"/>
      <c r="O417" s="53">
        <f>Ordini!$K417+Ordini!$J417+Ordini!$L417</f>
        <v>10.95</v>
      </c>
      <c r="P417" s="53">
        <f>Ordini!$I417-Ordini!$O417</f>
        <v>9.4000000000000021</v>
      </c>
      <c r="Q417" s="50" t="str">
        <f>IF(Ordini!$P417&lt;0,"DA EVITARE","OK")</f>
        <v>OK</v>
      </c>
      <c r="R417" s="50"/>
    </row>
    <row r="418" spans="1:18" s="55" customFormat="1" x14ac:dyDescent="0.25">
      <c r="A418" s="56">
        <v>46171</v>
      </c>
      <c r="B418" s="57" t="s">
        <v>110</v>
      </c>
      <c r="C418" s="57" t="s">
        <v>20</v>
      </c>
      <c r="D418" s="57" t="s">
        <v>588</v>
      </c>
      <c r="E418" s="57" t="s">
        <v>60</v>
      </c>
      <c r="F418" s="58">
        <v>1</v>
      </c>
      <c r="G418" s="60">
        <v>76.27</v>
      </c>
      <c r="H418" s="59">
        <v>0</v>
      </c>
      <c r="I418" s="60">
        <f>Ordini!$G418/(1+Ordini!$H418)</f>
        <v>76.27</v>
      </c>
      <c r="J418" s="60">
        <v>0</v>
      </c>
      <c r="K418" s="60">
        <v>39.76</v>
      </c>
      <c r="L418" s="60">
        <v>8.01</v>
      </c>
      <c r="M418" s="58" t="s">
        <v>34</v>
      </c>
      <c r="N418" s="58"/>
      <c r="O418" s="61">
        <f>Ordini!$K418+Ordini!$J418+Ordini!$L418</f>
        <v>47.769999999999996</v>
      </c>
      <c r="P418" s="61">
        <f>Ordini!$I418-Ordini!$O418</f>
        <v>28.5</v>
      </c>
      <c r="Q418" s="58" t="str">
        <f>IF(Ordini!$P418&lt;0,"DA EVITARE","OK")</f>
        <v>OK</v>
      </c>
      <c r="R418" s="58"/>
    </row>
    <row r="419" spans="1:18" s="62" customFormat="1" x14ac:dyDescent="0.25">
      <c r="A419" s="48">
        <v>46172</v>
      </c>
      <c r="B419" s="49" t="s">
        <v>111</v>
      </c>
      <c r="C419" s="49" t="s">
        <v>20</v>
      </c>
      <c r="D419" s="49" t="s">
        <v>614</v>
      </c>
      <c r="E419" s="49" t="s">
        <v>411</v>
      </c>
      <c r="F419" s="50">
        <v>1</v>
      </c>
      <c r="G419" s="52">
        <v>22.8</v>
      </c>
      <c r="H419" s="51">
        <v>0</v>
      </c>
      <c r="I419" s="52">
        <f>Ordini!$G419/(1+Ordini!$H419)</f>
        <v>22.8</v>
      </c>
      <c r="J419" s="52">
        <v>2.37</v>
      </c>
      <c r="K419" s="52">
        <v>12.64</v>
      </c>
      <c r="L419" s="52">
        <v>4.8499999999999996</v>
      </c>
      <c r="M419" s="50" t="s">
        <v>22</v>
      </c>
      <c r="N419" s="50"/>
      <c r="O419" s="53">
        <f>Ordini!$K419+Ordini!$J419+Ordini!$L419</f>
        <v>19.86</v>
      </c>
      <c r="P419" s="53">
        <f>Ordini!$I419-Ordini!$O419</f>
        <v>2.9400000000000013</v>
      </c>
      <c r="Q419" s="50" t="str">
        <f>IF(Ordini!$P419&lt;0,"DA EVITARE","OK")</f>
        <v>OK</v>
      </c>
      <c r="R419" s="50"/>
    </row>
    <row r="420" spans="1:18" s="55" customFormat="1" x14ac:dyDescent="0.25">
      <c r="A420" s="56">
        <v>46172</v>
      </c>
      <c r="B420" s="57" t="s">
        <v>110</v>
      </c>
      <c r="C420" s="57" t="s">
        <v>20</v>
      </c>
      <c r="D420" s="57" t="s">
        <v>589</v>
      </c>
      <c r="E420" s="57" t="s">
        <v>412</v>
      </c>
      <c r="F420" s="58">
        <v>1</v>
      </c>
      <c r="G420" s="60">
        <v>28.51</v>
      </c>
      <c r="H420" s="59">
        <v>0</v>
      </c>
      <c r="I420" s="60">
        <f>Ordini!$G420/(1+Ordini!$H420)</f>
        <v>28.51</v>
      </c>
      <c r="J420" s="60">
        <v>0</v>
      </c>
      <c r="K420" s="60">
        <v>15.31</v>
      </c>
      <c r="L420" s="60">
        <v>5.87</v>
      </c>
      <c r="M420" s="58" t="s">
        <v>34</v>
      </c>
      <c r="N420" s="58"/>
      <c r="O420" s="61">
        <f>Ordini!$K420+Ordini!$J420+Ordini!$L420</f>
        <v>21.18</v>
      </c>
      <c r="P420" s="61">
        <f>Ordini!$I420-Ordini!$O420</f>
        <v>7.3300000000000018</v>
      </c>
      <c r="Q420" s="58" t="str">
        <f>IF(Ordini!$P420&lt;0,"DA EVITARE","OK")</f>
        <v>OK</v>
      </c>
      <c r="R420" s="58"/>
    </row>
    <row r="421" spans="1:18" s="62" customFormat="1" x14ac:dyDescent="0.25">
      <c r="A421" s="48">
        <v>46172</v>
      </c>
      <c r="B421" s="49" t="s">
        <v>109</v>
      </c>
      <c r="C421" s="49" t="s">
        <v>20</v>
      </c>
      <c r="D421" s="49" t="s">
        <v>590</v>
      </c>
      <c r="E421" s="49" t="s">
        <v>415</v>
      </c>
      <c r="F421" s="50">
        <v>1</v>
      </c>
      <c r="G421" s="52">
        <v>47.99</v>
      </c>
      <c r="H421" s="51">
        <v>0</v>
      </c>
      <c r="I421" s="52">
        <f>Ordini!$G421/(1+Ordini!$H421)</f>
        <v>47.99</v>
      </c>
      <c r="J421" s="52">
        <v>9.06</v>
      </c>
      <c r="K421" s="52">
        <v>20.85</v>
      </c>
      <c r="L421" s="52">
        <v>5.87</v>
      </c>
      <c r="M421" s="50" t="s">
        <v>22</v>
      </c>
      <c r="N421" s="50"/>
      <c r="O421" s="53">
        <f>Ordini!$K421+Ordini!$J421+Ordini!$L421</f>
        <v>35.78</v>
      </c>
      <c r="P421" s="53">
        <f>Ordini!$I421-Ordini!$O421</f>
        <v>12.21</v>
      </c>
      <c r="Q421" s="50" t="str">
        <f>IF(Ordini!$P421&lt;0,"DA EVITARE","OK")</f>
        <v>OK</v>
      </c>
      <c r="R421" s="50"/>
    </row>
    <row r="422" spans="1:18" s="55" customFormat="1" x14ac:dyDescent="0.25">
      <c r="A422" s="56">
        <v>46172</v>
      </c>
      <c r="B422" s="57" t="s">
        <v>363</v>
      </c>
      <c r="C422" s="57" t="s">
        <v>20</v>
      </c>
      <c r="D422" s="57" t="s">
        <v>626</v>
      </c>
      <c r="E422" s="57" t="s">
        <v>627</v>
      </c>
      <c r="F422" s="58">
        <v>1</v>
      </c>
      <c r="G422" s="60">
        <v>81.5</v>
      </c>
      <c r="H422" s="59">
        <v>0</v>
      </c>
      <c r="I422" s="60">
        <f>Ordini!$G422/(1+Ordini!$H422)</f>
        <v>81.5</v>
      </c>
      <c r="J422" s="60">
        <v>8.15</v>
      </c>
      <c r="K422" s="60">
        <v>54.716999999999999</v>
      </c>
      <c r="L422" s="60">
        <v>4.7699999999999996</v>
      </c>
      <c r="M422" s="58" t="s">
        <v>34</v>
      </c>
      <c r="N422" s="58"/>
      <c r="O422" s="61">
        <f>Ordini!$K422+Ordini!$J422+Ordini!$L422</f>
        <v>67.637</v>
      </c>
      <c r="P422" s="61">
        <f>Ordini!$I422-Ordini!$O422</f>
        <v>13.863</v>
      </c>
      <c r="Q422" s="58" t="str">
        <f>IF(Ordini!$P422&lt;0,"DA EVITARE","OK")</f>
        <v>OK</v>
      </c>
      <c r="R422" s="58"/>
    </row>
    <row r="423" spans="1:18" s="62" customFormat="1" x14ac:dyDescent="0.25">
      <c r="A423" s="48">
        <v>46173</v>
      </c>
      <c r="B423" s="49" t="s">
        <v>111</v>
      </c>
      <c r="C423" s="49" t="s">
        <v>20</v>
      </c>
      <c r="D423" s="49" t="s">
        <v>619</v>
      </c>
      <c r="E423" s="49" t="s">
        <v>411</v>
      </c>
      <c r="F423" s="50">
        <v>1</v>
      </c>
      <c r="G423" s="52">
        <v>22.8</v>
      </c>
      <c r="H423" s="51">
        <v>0</v>
      </c>
      <c r="I423" s="52">
        <f>Ordini!$G423/(1+Ordini!$H423)</f>
        <v>22.8</v>
      </c>
      <c r="J423" s="52">
        <v>2.37</v>
      </c>
      <c r="K423" s="52">
        <v>12.64</v>
      </c>
      <c r="L423" s="52">
        <v>4.8499999999999996</v>
      </c>
      <c r="M423" s="50" t="s">
        <v>22</v>
      </c>
      <c r="N423" s="50"/>
      <c r="O423" s="53">
        <f>Ordini!$K423+Ordini!$J423+Ordini!$L423</f>
        <v>19.86</v>
      </c>
      <c r="P423" s="53">
        <f>Ordini!$I423-Ordini!$O423</f>
        <v>2.9400000000000013</v>
      </c>
      <c r="Q423" s="50" t="str">
        <f>IF(Ordini!$P423&lt;0,"DA EVITARE","OK")</f>
        <v>OK</v>
      </c>
      <c r="R423" s="50"/>
    </row>
    <row r="424" spans="1:18" s="55" customFormat="1" x14ac:dyDescent="0.25">
      <c r="A424" s="56">
        <v>46173</v>
      </c>
      <c r="B424" s="57" t="s">
        <v>111</v>
      </c>
      <c r="C424" s="57" t="s">
        <v>20</v>
      </c>
      <c r="D424" s="57" t="s">
        <v>620</v>
      </c>
      <c r="E424" s="57" t="s">
        <v>411</v>
      </c>
      <c r="F424" s="58">
        <v>1</v>
      </c>
      <c r="G424" s="60">
        <v>22.8</v>
      </c>
      <c r="H424" s="59">
        <v>0</v>
      </c>
      <c r="I424" s="60">
        <f>Ordini!$G424/(1+Ordini!$H424)</f>
        <v>22.8</v>
      </c>
      <c r="J424" s="60">
        <v>2.37</v>
      </c>
      <c r="K424" s="60">
        <v>12.64</v>
      </c>
      <c r="L424" s="60">
        <v>4.8499999999999996</v>
      </c>
      <c r="M424" s="58" t="s">
        <v>22</v>
      </c>
      <c r="N424" s="58"/>
      <c r="O424" s="61">
        <f>Ordini!$K424+Ordini!$J424+Ordini!$L424</f>
        <v>19.86</v>
      </c>
      <c r="P424" s="61">
        <f>Ordini!$I424-Ordini!$O424</f>
        <v>2.9400000000000013</v>
      </c>
      <c r="Q424" s="58" t="str">
        <f>IF(Ordini!$P424&lt;0,"DA EVITARE","OK")</f>
        <v>OK</v>
      </c>
      <c r="R424" s="58"/>
    </row>
    <row r="425" spans="1:18" s="62" customFormat="1" x14ac:dyDescent="0.25">
      <c r="A425" s="48">
        <v>46173</v>
      </c>
      <c r="B425" s="49" t="s">
        <v>111</v>
      </c>
      <c r="C425" s="49" t="s">
        <v>20</v>
      </c>
      <c r="D425" s="49" t="s">
        <v>621</v>
      </c>
      <c r="E425" s="49" t="s">
        <v>411</v>
      </c>
      <c r="F425" s="50">
        <v>1</v>
      </c>
      <c r="G425" s="52">
        <v>22.8</v>
      </c>
      <c r="H425" s="51">
        <v>0</v>
      </c>
      <c r="I425" s="52">
        <f>Ordini!$G425/(1+Ordini!$H425)</f>
        <v>22.8</v>
      </c>
      <c r="J425" s="52">
        <v>2.37</v>
      </c>
      <c r="K425" s="52">
        <v>12.64</v>
      </c>
      <c r="L425" s="52">
        <v>4.8499999999999996</v>
      </c>
      <c r="M425" s="50" t="s">
        <v>22</v>
      </c>
      <c r="N425" s="50"/>
      <c r="O425" s="53">
        <f>Ordini!$K425+Ordini!$J425+Ordini!$L425</f>
        <v>19.86</v>
      </c>
      <c r="P425" s="53">
        <f>Ordini!$I425-Ordini!$O425</f>
        <v>2.9400000000000013</v>
      </c>
      <c r="Q425" s="50" t="str">
        <f>IF(Ordini!$P425&lt;0,"DA EVITARE","OK")</f>
        <v>OK</v>
      </c>
      <c r="R425" s="50"/>
    </row>
    <row r="426" spans="1:18" s="55" customFormat="1" x14ac:dyDescent="0.25">
      <c r="A426" s="56">
        <v>46173</v>
      </c>
      <c r="B426" s="57" t="s">
        <v>110</v>
      </c>
      <c r="C426" s="57" t="s">
        <v>20</v>
      </c>
      <c r="D426" s="57" t="s">
        <v>622</v>
      </c>
      <c r="E426" s="57" t="s">
        <v>73</v>
      </c>
      <c r="F426" s="58">
        <v>1</v>
      </c>
      <c r="G426" s="60">
        <v>34.659999999999997</v>
      </c>
      <c r="H426" s="59">
        <v>0</v>
      </c>
      <c r="I426" s="60">
        <f>Ordini!$G426/(1+Ordini!$H426)</f>
        <v>34.659999999999997</v>
      </c>
      <c r="J426" s="60">
        <v>0</v>
      </c>
      <c r="K426" s="60">
        <v>14.47</v>
      </c>
      <c r="L426" s="60">
        <v>7.1</v>
      </c>
      <c r="M426" s="58" t="s">
        <v>34</v>
      </c>
      <c r="N426" s="58"/>
      <c r="O426" s="61">
        <f>Ordini!$K426+Ordini!$J426+Ordini!$L426</f>
        <v>21.57</v>
      </c>
      <c r="P426" s="61">
        <f>Ordini!$I426-Ordini!$O426</f>
        <v>13.089999999999996</v>
      </c>
      <c r="Q426" s="58" t="str">
        <f>IF(Ordini!$P426&lt;0,"DA EVITARE","OK")</f>
        <v>OK</v>
      </c>
      <c r="R426" s="58"/>
    </row>
    <row r="427" spans="1:18" s="62" customFormat="1" x14ac:dyDescent="0.25">
      <c r="A427" s="48">
        <v>46173</v>
      </c>
      <c r="B427" s="49" t="s">
        <v>110</v>
      </c>
      <c r="C427" s="49" t="s">
        <v>20</v>
      </c>
      <c r="D427" s="49" t="s">
        <v>623</v>
      </c>
      <c r="E427" s="49" t="s">
        <v>412</v>
      </c>
      <c r="F427" s="50">
        <v>1</v>
      </c>
      <c r="G427" s="52">
        <v>28.51</v>
      </c>
      <c r="H427" s="51">
        <v>0</v>
      </c>
      <c r="I427" s="52">
        <f>Ordini!$G427/(1+Ordini!$H427)</f>
        <v>28.51</v>
      </c>
      <c r="J427" s="52">
        <v>0</v>
      </c>
      <c r="K427" s="52">
        <v>15.31</v>
      </c>
      <c r="L427" s="52">
        <v>5.87</v>
      </c>
      <c r="M427" s="50" t="s">
        <v>34</v>
      </c>
      <c r="N427" s="50"/>
      <c r="O427" s="53">
        <f>Ordini!$K427+Ordini!$J427+Ordini!$L427</f>
        <v>21.18</v>
      </c>
      <c r="P427" s="53">
        <f>Ordini!$I427-Ordini!$O427</f>
        <v>7.3300000000000018</v>
      </c>
      <c r="Q427" s="50" t="str">
        <f>IF(Ordini!$P427&lt;0,"DA EVITARE","OK")</f>
        <v>OK</v>
      </c>
      <c r="R427" s="50"/>
    </row>
    <row r="428" spans="1:18" s="55" customFormat="1" x14ac:dyDescent="0.25">
      <c r="A428" s="56">
        <v>46173</v>
      </c>
      <c r="B428" s="57" t="s">
        <v>109</v>
      </c>
      <c r="C428" s="57" t="s">
        <v>20</v>
      </c>
      <c r="D428" s="57" t="s">
        <v>624</v>
      </c>
      <c r="E428" s="57" t="s">
        <v>359</v>
      </c>
      <c r="F428" s="58">
        <v>1</v>
      </c>
      <c r="G428" s="60">
        <v>25.03</v>
      </c>
      <c r="H428" s="59">
        <v>0</v>
      </c>
      <c r="I428" s="60">
        <f>Ordini!$G428/(1+Ordini!$H428)</f>
        <v>25.03</v>
      </c>
      <c r="J428" s="60">
        <v>4.72</v>
      </c>
      <c r="K428" s="60">
        <v>11.211799999999998</v>
      </c>
      <c r="L428" s="60">
        <v>4.3600000000000003</v>
      </c>
      <c r="M428" s="58" t="s">
        <v>22</v>
      </c>
      <c r="N428" s="58"/>
      <c r="O428" s="61">
        <f>Ordini!$K428+Ordini!$J428+Ordini!$L428</f>
        <v>20.291799999999999</v>
      </c>
      <c r="P428" s="61">
        <f>Ordini!$I428-Ordini!$O428</f>
        <v>4.7382000000000026</v>
      </c>
      <c r="Q428" s="58" t="str">
        <f>IF(Ordini!$P428&lt;0,"DA EVITARE","OK")</f>
        <v>OK</v>
      </c>
      <c r="R428" s="58"/>
    </row>
    <row r="429" spans="1:18" s="62" customFormat="1" x14ac:dyDescent="0.25">
      <c r="A429" s="48">
        <v>46173</v>
      </c>
      <c r="B429" s="49" t="s">
        <v>109</v>
      </c>
      <c r="C429" s="49" t="s">
        <v>20</v>
      </c>
      <c r="D429" s="49" t="s">
        <v>625</v>
      </c>
      <c r="E429" s="49" t="s">
        <v>50</v>
      </c>
      <c r="F429" s="50">
        <v>1</v>
      </c>
      <c r="G429" s="52">
        <v>18.989999999999998</v>
      </c>
      <c r="H429" s="51">
        <v>0</v>
      </c>
      <c r="I429" s="52">
        <f>Ordini!$G429/(1+Ordini!$H429)</f>
        <v>18.989999999999998</v>
      </c>
      <c r="J429" s="52">
        <v>3.59</v>
      </c>
      <c r="K429" s="52">
        <v>6.41</v>
      </c>
      <c r="L429" s="52">
        <v>4.7699999999999996</v>
      </c>
      <c r="M429" s="50" t="s">
        <v>34</v>
      </c>
      <c r="N429" s="50"/>
      <c r="O429" s="53">
        <f>Ordini!$K429+Ordini!$J429+Ordini!$L429</f>
        <v>14.77</v>
      </c>
      <c r="P429" s="53">
        <f>Ordini!$I429-Ordini!$O429</f>
        <v>4.2199999999999989</v>
      </c>
      <c r="Q429" s="50" t="str">
        <f>IF(Ordini!$P429&lt;0,"DA EVITARE","OK")</f>
        <v>OK</v>
      </c>
      <c r="R429" s="50"/>
    </row>
    <row r="430" spans="1:18" s="55" customFormat="1" x14ac:dyDescent="0.25">
      <c r="A430" s="56">
        <v>46173</v>
      </c>
      <c r="B430" s="57" t="s">
        <v>363</v>
      </c>
      <c r="C430" s="57" t="s">
        <v>20</v>
      </c>
      <c r="D430" s="57" t="s">
        <v>628</v>
      </c>
      <c r="E430" s="57" t="s">
        <v>44</v>
      </c>
      <c r="F430" s="58">
        <v>1</v>
      </c>
      <c r="G430" s="60">
        <v>51.99</v>
      </c>
      <c r="H430" s="59">
        <v>0</v>
      </c>
      <c r="I430" s="60">
        <f>Ordini!$G430/(1+Ordini!$H430)</f>
        <v>51.99</v>
      </c>
      <c r="J430" s="60">
        <v>6.24</v>
      </c>
      <c r="K430" s="60">
        <v>20.970000000000002</v>
      </c>
      <c r="L430" s="60">
        <v>4.8499999999999996</v>
      </c>
      <c r="M430" s="58" t="s">
        <v>34</v>
      </c>
      <c r="N430" s="58"/>
      <c r="O430" s="61">
        <f>Ordini!$K430+Ordini!$J430+Ordini!$L430</f>
        <v>32.06</v>
      </c>
      <c r="P430" s="61">
        <f>Ordini!$I430-Ordini!$O430</f>
        <v>19.93</v>
      </c>
      <c r="Q430" s="58" t="str">
        <f>IF(Ordini!$P430&lt;0,"DA EVITARE","OK")</f>
        <v>OK</v>
      </c>
      <c r="R430" s="58"/>
    </row>
    <row r="431" spans="1:18" s="62" customFormat="1" x14ac:dyDescent="0.25">
      <c r="A431" s="48">
        <v>46174</v>
      </c>
      <c r="B431" s="49" t="s">
        <v>111</v>
      </c>
      <c r="C431" s="49" t="s">
        <v>20</v>
      </c>
      <c r="D431" s="49" t="s">
        <v>629</v>
      </c>
      <c r="E431" s="49" t="s">
        <v>77</v>
      </c>
      <c r="F431" s="50">
        <v>1</v>
      </c>
      <c r="G431" s="52">
        <v>59.99</v>
      </c>
      <c r="H431" s="51">
        <v>0</v>
      </c>
      <c r="I431" s="52">
        <f>Ordini!$G431/(1+Ordini!$H431)</f>
        <v>59.99</v>
      </c>
      <c r="J431" s="52">
        <v>5.39</v>
      </c>
      <c r="K431" s="52">
        <v>26.82</v>
      </c>
      <c r="L431" s="52">
        <v>5.87</v>
      </c>
      <c r="M431" s="50" t="s">
        <v>22</v>
      </c>
      <c r="N431" s="50"/>
      <c r="O431" s="53">
        <f>Ordini!$K431+Ordini!$J431+Ordini!$L431</f>
        <v>38.08</v>
      </c>
      <c r="P431" s="53">
        <f>Ordini!$I431-Ordini!$O431</f>
        <v>21.910000000000004</v>
      </c>
      <c r="Q431" s="50" t="str">
        <f>IF(Ordini!$P431&lt;0,"DA EVITARE","OK")</f>
        <v>OK</v>
      </c>
      <c r="R431" s="50"/>
    </row>
    <row r="432" spans="1:18" s="55" customFormat="1" x14ac:dyDescent="0.25">
      <c r="A432" s="56">
        <v>46174</v>
      </c>
      <c r="B432" s="57" t="s">
        <v>111</v>
      </c>
      <c r="C432" s="57" t="s">
        <v>20</v>
      </c>
      <c r="D432" s="57" t="s">
        <v>630</v>
      </c>
      <c r="E432" s="57" t="s">
        <v>44</v>
      </c>
      <c r="F432" s="58">
        <v>1</v>
      </c>
      <c r="G432" s="60">
        <v>43.73</v>
      </c>
      <c r="H432" s="59">
        <v>0</v>
      </c>
      <c r="I432" s="60">
        <f>Ordini!$G432/(1+Ordini!$H432)</f>
        <v>43.73</v>
      </c>
      <c r="J432" s="60">
        <v>4.21</v>
      </c>
      <c r="K432" s="60">
        <v>20.970000000000002</v>
      </c>
      <c r="L432" s="60">
        <v>4.8499999999999996</v>
      </c>
      <c r="M432" s="58" t="s">
        <v>22</v>
      </c>
      <c r="N432" s="58"/>
      <c r="O432" s="61">
        <f>Ordini!$K432+Ordini!$J432+Ordini!$L432</f>
        <v>30.03</v>
      </c>
      <c r="P432" s="61">
        <f>Ordini!$I432-Ordini!$O432</f>
        <v>13.699999999999996</v>
      </c>
      <c r="Q432" s="58" t="str">
        <f>IF(Ordini!$P432&lt;0,"DA EVITARE","OK")</f>
        <v>OK</v>
      </c>
      <c r="R432" s="58"/>
    </row>
    <row r="433" spans="1:18" s="62" customFormat="1" x14ac:dyDescent="0.25">
      <c r="A433" s="48">
        <v>46174</v>
      </c>
      <c r="B433" s="49" t="s">
        <v>110</v>
      </c>
      <c r="C433" s="49" t="s">
        <v>20</v>
      </c>
      <c r="D433" s="49" t="s">
        <v>631</v>
      </c>
      <c r="E433" s="49" t="s">
        <v>72</v>
      </c>
      <c r="F433" s="50">
        <v>2</v>
      </c>
      <c r="G433" s="52">
        <v>34.72</v>
      </c>
      <c r="H433" s="51">
        <v>0</v>
      </c>
      <c r="I433" s="52">
        <f>Ordini!$G433/(1+Ordini!$H433)</f>
        <v>34.72</v>
      </c>
      <c r="J433" s="52">
        <v>0</v>
      </c>
      <c r="K433" s="52">
        <v>12.36</v>
      </c>
      <c r="L433" s="52">
        <v>4.7699999999999996</v>
      </c>
      <c r="M433" s="50" t="s">
        <v>34</v>
      </c>
      <c r="N433" s="50"/>
      <c r="O433" s="53">
        <f>Ordini!$K433+Ordini!$J433+Ordini!$L433</f>
        <v>17.13</v>
      </c>
      <c r="P433" s="53">
        <f>Ordini!$I433-Ordini!$O433</f>
        <v>17.59</v>
      </c>
      <c r="Q433" s="50" t="str">
        <f>IF(Ordini!$P433&lt;0,"DA EVITARE","OK")</f>
        <v>OK</v>
      </c>
      <c r="R433" s="50"/>
    </row>
    <row r="434" spans="1:18" s="55" customFormat="1" x14ac:dyDescent="0.25">
      <c r="A434" s="56">
        <v>46174</v>
      </c>
      <c r="B434" s="57" t="s">
        <v>110</v>
      </c>
      <c r="C434" s="57" t="s">
        <v>20</v>
      </c>
      <c r="D434" s="57" t="s">
        <v>733</v>
      </c>
      <c r="E434" s="57" t="s">
        <v>63</v>
      </c>
      <c r="F434" s="58">
        <v>1</v>
      </c>
      <c r="G434" s="60">
        <v>85.81</v>
      </c>
      <c r="H434" s="59">
        <v>0</v>
      </c>
      <c r="I434" s="60">
        <f>Ordini!$G434/(1+Ordini!$H434)</f>
        <v>85.81</v>
      </c>
      <c r="J434" s="60">
        <v>0</v>
      </c>
      <c r="K434" s="60" cm="1">
        <f t="array" ref="K434">IFERROR(
_xlfn.XLOOKUP(Ordini!E434,'Prodotti Magazzino'!$A$2:A10001,'Prodotti Magazzino'!$B$2:B10001),
_xlfn.XLOOKUP(Ordini!E434,'Prodotti drop'!$A$2:A10000,'Prodotti drop'!$B$2:B10000)
)*Ordini!F434</f>
        <v>42.629999999999995</v>
      </c>
      <c r="L434" s="60" cm="1">
        <f t="array" ref="L434">_xlfn.LET(
_xlpm.stato,TRIM(Ordini!$M434),
_xlpm.sku,TRIM(Ordini!$E434),
_xlpm.paese,TRIM(Ordini!$C434),
_xlpm.andata,_xlfn.XLOOKUP(1,
    (TRIM(Logistica!$A$2:A10422)=_xlpm.sku)*
    (TRIM( Logistica!$B$2:B10422)=_xlpm.paese),
  Logistica!$C$2:C10422,
    0),
_xlpm.reso,_xlfn.XLOOKUP(1,
    (TRIM(Logistica!$A$2:A10422)=_xlpm.sku)*
    (TRIM(Logistica!$B$2:B10422)=_xlpm.paese),
    Logistica!$D$2:D10422,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434" s="58" t="s">
        <v>34</v>
      </c>
      <c r="N434" s="58"/>
      <c r="O434" s="61">
        <f>Ordini!$K434+Ordini!$J434+Ordini!$L434</f>
        <v>48.695573770491798</v>
      </c>
      <c r="P434" s="61">
        <f>Ordini!$I434-Ordini!$O434</f>
        <v>37.114426229508204</v>
      </c>
      <c r="Q434" s="58" t="str">
        <f>IF(Ordini!$P434&lt;0,"DA EVITARE","OK")</f>
        <v>OK</v>
      </c>
      <c r="R434" s="58"/>
    </row>
    <row r="435" spans="1:18" s="62" customFormat="1" x14ac:dyDescent="0.25">
      <c r="A435" s="48">
        <v>46174</v>
      </c>
      <c r="B435" s="49" t="s">
        <v>109</v>
      </c>
      <c r="C435" s="49" t="s">
        <v>20</v>
      </c>
      <c r="D435" s="49" t="s">
        <v>649</v>
      </c>
      <c r="E435" s="49" t="s">
        <v>50</v>
      </c>
      <c r="F435" s="50">
        <v>1</v>
      </c>
      <c r="G435" s="52">
        <v>18.989999999999998</v>
      </c>
      <c r="H435" s="51">
        <v>0</v>
      </c>
      <c r="I435" s="52">
        <f>Ordini!$G435/(1+Ordini!$H435)</f>
        <v>18.989999999999998</v>
      </c>
      <c r="J435" s="52">
        <v>3.57</v>
      </c>
      <c r="K435" s="52">
        <v>6.41</v>
      </c>
      <c r="L435" s="52">
        <v>4.7699999999999996</v>
      </c>
      <c r="M435" s="50" t="s">
        <v>34</v>
      </c>
      <c r="N435" s="50"/>
      <c r="O435" s="53">
        <f>Ordini!$K435+Ordini!$J435+Ordini!$L435</f>
        <v>14.75</v>
      </c>
      <c r="P435" s="53">
        <f>Ordini!$I435-Ordini!$O435</f>
        <v>4.2399999999999984</v>
      </c>
      <c r="Q435" s="50" t="str">
        <f>IF(Ordini!$P435&lt;0,"DA EVITARE","OK")</f>
        <v>OK</v>
      </c>
      <c r="R435" s="50"/>
    </row>
    <row r="436" spans="1:18" s="62" customFormat="1" x14ac:dyDescent="0.25">
      <c r="A436" s="48">
        <v>46174</v>
      </c>
      <c r="B436" s="49" t="s">
        <v>109</v>
      </c>
      <c r="C436" s="49" t="s">
        <v>20</v>
      </c>
      <c r="D436" s="49" t="s">
        <v>734</v>
      </c>
      <c r="E436" s="49" t="s">
        <v>735</v>
      </c>
      <c r="F436" s="50">
        <v>3</v>
      </c>
      <c r="G436" s="52">
        <v>168</v>
      </c>
      <c r="H436" s="51">
        <v>0</v>
      </c>
      <c r="I436" s="52">
        <f>Ordini!$G436/(1+Ordini!$H436)</f>
        <v>168</v>
      </c>
      <c r="J436" s="52">
        <v>31.68</v>
      </c>
      <c r="K436" s="52" cm="1">
        <f t="array" ref="K436">IFERROR(
_xlfn.XLOOKUP(Ordini!E436,'Prodotti Magazzino'!$A$2:A10003,'Prodotti Magazzino'!$B$2:B10003),
_xlfn.XLOOKUP(Ordini!E436,'Prodotti drop'!$A$2:A10002,'Prodotti drop'!$B$2:B10002)
)*Ordini!F436</f>
        <v>99.405599999999993</v>
      </c>
      <c r="L436" s="52" cm="1">
        <f t="array" ref="L436">_xlfn.LET(
_xlpm.stato,TRIM(Ordini!$M436),
_xlpm.sku,TRIM(Ordini!$E436),
_xlpm.paese,TRIM(Ordini!$C436),
_xlpm.andata,_xlfn.XLOOKUP(1,
    (TRIM(Logistica!$A$2:A10424)=_xlpm.sku)*
    (TRIM( Logistica!$B$2:B10424)=_xlpm.paese),
  Logistica!$C$2:C10424,
    0),
_xlpm.reso,_xlfn.XLOOKUP(1,
    (TRIM(Logistica!$A$2:A10424)=_xlpm.sku)*
    (TRIM(Logistica!$B$2:B10424)=_xlpm.paese),
    Logistica!$D$2:D10424,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4.8499999999999996</v>
      </c>
      <c r="M436" s="50" t="s">
        <v>22</v>
      </c>
      <c r="N436" s="50"/>
      <c r="O436" s="53">
        <f>Ordini!$K436+Ordini!$J436+Ordini!$L436</f>
        <v>135.93559999999999</v>
      </c>
      <c r="P436" s="53">
        <f>Ordini!$I436-Ordini!$O436</f>
        <v>32.064400000000006</v>
      </c>
      <c r="Q436" s="50" t="str">
        <f>IF(Ordini!$P436&lt;0,"DA EVITARE","OK")</f>
        <v>OK</v>
      </c>
      <c r="R436" s="50"/>
    </row>
    <row r="437" spans="1:18" s="55" customFormat="1" x14ac:dyDescent="0.25">
      <c r="A437" s="56">
        <v>46174</v>
      </c>
      <c r="B437" s="57" t="s">
        <v>109</v>
      </c>
      <c r="C437" s="57" t="s">
        <v>20</v>
      </c>
      <c r="D437" s="57" t="s">
        <v>632</v>
      </c>
      <c r="E437" s="57" t="s">
        <v>415</v>
      </c>
      <c r="F437" s="58">
        <v>1</v>
      </c>
      <c r="G437" s="60">
        <v>47.99</v>
      </c>
      <c r="H437" s="59">
        <v>0</v>
      </c>
      <c r="I437" s="60">
        <f>Ordini!$G437/(1+Ordini!$H437)</f>
        <v>47.99</v>
      </c>
      <c r="J437" s="60">
        <v>9.06</v>
      </c>
      <c r="K437" s="60">
        <v>20.85</v>
      </c>
      <c r="L437" s="60">
        <v>5.87</v>
      </c>
      <c r="M437" s="58" t="s">
        <v>22</v>
      </c>
      <c r="N437" s="58"/>
      <c r="O437" s="61">
        <f>Ordini!$K437+Ordini!$J437+Ordini!$L437</f>
        <v>35.78</v>
      </c>
      <c r="P437" s="61">
        <f>Ordini!$I437-Ordini!$O437</f>
        <v>12.21</v>
      </c>
      <c r="Q437" s="58" t="str">
        <f>IF(Ordini!$P437&lt;0,"DA EVITARE","OK")</f>
        <v>OK</v>
      </c>
      <c r="R437" s="58"/>
    </row>
    <row r="438" spans="1:18" s="62" customFormat="1" x14ac:dyDescent="0.25">
      <c r="A438" s="48">
        <v>46174</v>
      </c>
      <c r="B438" s="49" t="s">
        <v>109</v>
      </c>
      <c r="C438" s="49" t="s">
        <v>20</v>
      </c>
      <c r="D438" s="49" t="s">
        <v>633</v>
      </c>
      <c r="E438" s="49" t="s">
        <v>634</v>
      </c>
      <c r="F438" s="50">
        <v>1</v>
      </c>
      <c r="G438" s="52">
        <v>26</v>
      </c>
      <c r="H438" s="51">
        <v>0</v>
      </c>
      <c r="I438" s="52">
        <f>Ordini!$G438/(1+Ordini!$H438)</f>
        <v>26</v>
      </c>
      <c r="J438" s="52">
        <v>4.91</v>
      </c>
      <c r="K438" s="52">
        <v>15.384199999999998</v>
      </c>
      <c r="L438" s="52">
        <v>4.7699999999999996</v>
      </c>
      <c r="M438" s="50" t="s">
        <v>22</v>
      </c>
      <c r="N438" s="50"/>
      <c r="O438" s="53">
        <f>Ordini!$K438+Ordini!$J438+Ordini!$L438</f>
        <v>25.064199999999996</v>
      </c>
      <c r="P438" s="53">
        <f>Ordini!$I438-Ordini!$O438</f>
        <v>0.93580000000000396</v>
      </c>
      <c r="Q438" s="50" t="str">
        <f>IF(Ordini!$P438&lt;0,"DA EVITARE","OK")</f>
        <v>OK</v>
      </c>
      <c r="R438" s="50"/>
    </row>
    <row r="439" spans="1:18" s="55" customFormat="1" x14ac:dyDescent="0.25">
      <c r="A439" s="56">
        <v>46174</v>
      </c>
      <c r="B439" s="57" t="s">
        <v>109</v>
      </c>
      <c r="C439" s="57" t="s">
        <v>20</v>
      </c>
      <c r="D439" s="57" t="s">
        <v>635</v>
      </c>
      <c r="E439" s="57" t="s">
        <v>713</v>
      </c>
      <c r="F439" s="58">
        <v>1</v>
      </c>
      <c r="G439" s="60">
        <v>30</v>
      </c>
      <c r="H439" s="59">
        <v>0</v>
      </c>
      <c r="I439" s="60">
        <f>Ordini!$G439/(1+Ordini!$H439)</f>
        <v>30</v>
      </c>
      <c r="J439" s="60">
        <v>5.66</v>
      </c>
      <c r="K439" s="60">
        <v>17.751000000000001</v>
      </c>
      <c r="L439" s="60">
        <v>4.7699999999999996</v>
      </c>
      <c r="M439" s="58" t="s">
        <v>22</v>
      </c>
      <c r="N439" s="58"/>
      <c r="O439" s="61">
        <f>Ordini!$K439+Ordini!$J439+Ordini!$L439</f>
        <v>28.181000000000001</v>
      </c>
      <c r="P439" s="61">
        <f>Ordini!$I439-Ordini!$O439</f>
        <v>1.8189999999999991</v>
      </c>
      <c r="Q439" s="58" t="str">
        <f>IF(Ordini!$P439&lt;0,"DA EVITARE","OK")</f>
        <v>OK</v>
      </c>
      <c r="R439" s="58"/>
    </row>
    <row r="440" spans="1:18" s="62" customFormat="1" x14ac:dyDescent="0.25">
      <c r="A440" s="48">
        <v>46174</v>
      </c>
      <c r="B440" s="49" t="s">
        <v>109</v>
      </c>
      <c r="C440" s="49" t="s">
        <v>20</v>
      </c>
      <c r="D440" s="49" t="s">
        <v>636</v>
      </c>
      <c r="E440" s="49" t="s">
        <v>347</v>
      </c>
      <c r="F440" s="50">
        <v>1</v>
      </c>
      <c r="G440" s="52">
        <v>14.9</v>
      </c>
      <c r="H440" s="51">
        <v>0</v>
      </c>
      <c r="I440" s="52">
        <f>Ordini!$G440/(1+Ordini!$H440)</f>
        <v>14.9</v>
      </c>
      <c r="J440" s="52">
        <v>1.49</v>
      </c>
      <c r="K440" s="52">
        <v>6</v>
      </c>
      <c r="L440" s="52">
        <v>4.7699999999999996</v>
      </c>
      <c r="M440" s="50" t="s">
        <v>34</v>
      </c>
      <c r="N440" s="50"/>
      <c r="O440" s="53">
        <f>Ordini!$K440+Ordini!$J440+Ordini!$L440</f>
        <v>12.26</v>
      </c>
      <c r="P440" s="53">
        <f>Ordini!$I440-Ordini!$O440</f>
        <v>2.6400000000000006</v>
      </c>
      <c r="Q440" s="50" t="str">
        <f>IF(Ordini!$P440&lt;0,"DA EVITARE","OK")</f>
        <v>OK</v>
      </c>
      <c r="R440" s="50"/>
    </row>
    <row r="441" spans="1:18" s="55" customFormat="1" x14ac:dyDescent="0.25">
      <c r="A441" s="56">
        <v>46174</v>
      </c>
      <c r="B441" s="57" t="s">
        <v>109</v>
      </c>
      <c r="C441" s="57" t="s">
        <v>20</v>
      </c>
      <c r="D441" s="57" t="s">
        <v>637</v>
      </c>
      <c r="E441" s="57" t="s">
        <v>44</v>
      </c>
      <c r="F441" s="58">
        <v>1</v>
      </c>
      <c r="G441" s="60">
        <v>51.99</v>
      </c>
      <c r="H441" s="59">
        <v>0</v>
      </c>
      <c r="I441" s="60">
        <f>Ordini!$G441/(1+Ordini!$H441)</f>
        <v>51.99</v>
      </c>
      <c r="J441" s="60">
        <v>8.48</v>
      </c>
      <c r="K441" s="60">
        <v>20.970000000000002</v>
      </c>
      <c r="L441" s="60">
        <v>4.8499999999999996</v>
      </c>
      <c r="M441" s="58" t="s">
        <v>22</v>
      </c>
      <c r="N441" s="58"/>
      <c r="O441" s="61">
        <f>Ordini!$K441+Ordini!$J441+Ordini!$L441</f>
        <v>34.300000000000004</v>
      </c>
      <c r="P441" s="61">
        <f>Ordini!$I441-Ordini!$O441</f>
        <v>17.689999999999998</v>
      </c>
      <c r="Q441" s="58" t="str">
        <f>IF(Ordini!$P441&lt;0,"DA EVITARE","OK")</f>
        <v>OK</v>
      </c>
      <c r="R441" s="58"/>
    </row>
    <row r="442" spans="1:18" s="62" customFormat="1" x14ac:dyDescent="0.25">
      <c r="A442" s="48">
        <v>46174</v>
      </c>
      <c r="B442" s="49" t="s">
        <v>109</v>
      </c>
      <c r="C442" s="49" t="s">
        <v>20</v>
      </c>
      <c r="D442" s="49" t="s">
        <v>638</v>
      </c>
      <c r="E442" s="49" t="s">
        <v>44</v>
      </c>
      <c r="F442" s="50">
        <v>1</v>
      </c>
      <c r="G442" s="52">
        <v>51.99</v>
      </c>
      <c r="H442" s="51">
        <v>0</v>
      </c>
      <c r="I442" s="52">
        <f>Ordini!$G442/(1+Ordini!$H442)</f>
        <v>51.99</v>
      </c>
      <c r="J442" s="52">
        <v>8.48</v>
      </c>
      <c r="K442" s="52">
        <v>20.970000000000002</v>
      </c>
      <c r="L442" s="52">
        <v>4.8499999999999996</v>
      </c>
      <c r="M442" s="50" t="s">
        <v>22</v>
      </c>
      <c r="N442" s="50"/>
      <c r="O442" s="53">
        <f>Ordini!$K442+Ordini!$J442+Ordini!$L442</f>
        <v>34.300000000000004</v>
      </c>
      <c r="P442" s="53">
        <f>Ordini!$I442-Ordini!$O442</f>
        <v>17.689999999999998</v>
      </c>
      <c r="Q442" s="50" t="str">
        <f>IF(Ordini!$P442&lt;0,"DA EVITARE","OK")</f>
        <v>OK</v>
      </c>
      <c r="R442" s="50"/>
    </row>
    <row r="443" spans="1:18" s="55" customFormat="1" x14ac:dyDescent="0.25">
      <c r="A443" s="56">
        <v>46175</v>
      </c>
      <c r="B443" s="57" t="s">
        <v>109</v>
      </c>
      <c r="C443" s="57" t="s">
        <v>20</v>
      </c>
      <c r="D443" s="57" t="s">
        <v>639</v>
      </c>
      <c r="E443" s="57" t="s">
        <v>414</v>
      </c>
      <c r="F443" s="58">
        <v>1</v>
      </c>
      <c r="G443" s="60">
        <v>21.99</v>
      </c>
      <c r="H443" s="59">
        <v>0</v>
      </c>
      <c r="I443" s="60">
        <f>Ordini!$G443/(1+Ordini!$H443)</f>
        <v>21.99</v>
      </c>
      <c r="J443" s="60">
        <v>4.1399999999999997</v>
      </c>
      <c r="K443" s="60">
        <v>8.24</v>
      </c>
      <c r="L443" s="60">
        <v>4.8499999999999996</v>
      </c>
      <c r="M443" s="58" t="s">
        <v>22</v>
      </c>
      <c r="N443" s="58"/>
      <c r="O443" s="61">
        <f>Ordini!$K443+Ordini!$J443+Ordini!$L443</f>
        <v>17.229999999999997</v>
      </c>
      <c r="P443" s="61">
        <f>Ordini!$I443-Ordini!$O443</f>
        <v>4.7600000000000016</v>
      </c>
      <c r="Q443" s="58" t="str">
        <f>IF(Ordini!$P443&lt;0,"DA EVITARE","OK")</f>
        <v>OK</v>
      </c>
      <c r="R443" s="58"/>
    </row>
    <row r="444" spans="1:18" s="62" customFormat="1" x14ac:dyDescent="0.25">
      <c r="A444" s="48">
        <v>46175</v>
      </c>
      <c r="B444" s="49" t="s">
        <v>110</v>
      </c>
      <c r="C444" s="49" t="s">
        <v>20</v>
      </c>
      <c r="D444" s="49" t="s">
        <v>640</v>
      </c>
      <c r="E444" s="49" t="s">
        <v>73</v>
      </c>
      <c r="F444" s="50">
        <v>1</v>
      </c>
      <c r="G444" s="52">
        <v>34.659999999999997</v>
      </c>
      <c r="H444" s="51">
        <v>0</v>
      </c>
      <c r="I444" s="52">
        <f>Ordini!$G444/(1+Ordini!$H444)</f>
        <v>34.659999999999997</v>
      </c>
      <c r="J444" s="52">
        <v>0</v>
      </c>
      <c r="K444" s="52">
        <v>14.47</v>
      </c>
      <c r="L444" s="52">
        <v>7.1</v>
      </c>
      <c r="M444" s="50" t="s">
        <v>34</v>
      </c>
      <c r="N444" s="50"/>
      <c r="O444" s="53">
        <f>Ordini!$K444+Ordini!$J444+Ordini!$L444</f>
        <v>21.57</v>
      </c>
      <c r="P444" s="53">
        <f>Ordini!$I444-Ordini!$O444</f>
        <v>13.089999999999996</v>
      </c>
      <c r="Q444" s="50" t="str">
        <f>IF(Ordini!$P444&lt;0,"DA EVITARE","OK")</f>
        <v>OK</v>
      </c>
      <c r="R444" s="50"/>
    </row>
    <row r="445" spans="1:18" s="55" customFormat="1" x14ac:dyDescent="0.25">
      <c r="A445" s="56">
        <v>46175</v>
      </c>
      <c r="B445" s="57" t="s">
        <v>110</v>
      </c>
      <c r="C445" s="57" t="s">
        <v>20</v>
      </c>
      <c r="D445" s="57" t="s">
        <v>641</v>
      </c>
      <c r="E445" s="57" t="s">
        <v>73</v>
      </c>
      <c r="F445" s="58">
        <v>1</v>
      </c>
      <c r="G445" s="60">
        <v>34.659999999999997</v>
      </c>
      <c r="H445" s="59">
        <v>0</v>
      </c>
      <c r="I445" s="60">
        <f>Ordini!$G445/(1+Ordini!$H445)</f>
        <v>34.659999999999997</v>
      </c>
      <c r="J445" s="60">
        <v>4.1399999999999997</v>
      </c>
      <c r="K445" s="60">
        <v>14.47</v>
      </c>
      <c r="L445" s="60">
        <v>7.1</v>
      </c>
      <c r="M445" s="58" t="s">
        <v>34</v>
      </c>
      <c r="N445" s="58"/>
      <c r="O445" s="61">
        <f>Ordini!$K445+Ordini!$J445+Ordini!$L445</f>
        <v>25.71</v>
      </c>
      <c r="P445" s="61">
        <f>Ordini!$I445-Ordini!$O445</f>
        <v>8.9499999999999957</v>
      </c>
      <c r="Q445" s="58" t="str">
        <f>IF(Ordini!$P445&lt;0,"DA EVITARE","OK")</f>
        <v>OK</v>
      </c>
      <c r="R445" s="58"/>
    </row>
    <row r="446" spans="1:18" s="62" customFormat="1" x14ac:dyDescent="0.25">
      <c r="A446" s="48">
        <v>46175</v>
      </c>
      <c r="B446" s="49" t="s">
        <v>110</v>
      </c>
      <c r="C446" s="49" t="s">
        <v>20</v>
      </c>
      <c r="D446" s="49" t="s">
        <v>642</v>
      </c>
      <c r="E446" s="49" t="s">
        <v>73</v>
      </c>
      <c r="F446" s="50">
        <v>1</v>
      </c>
      <c r="G446" s="52">
        <v>34.659999999999997</v>
      </c>
      <c r="H446" s="51">
        <v>0</v>
      </c>
      <c r="I446" s="52">
        <f>Ordini!$G446/(1+Ordini!$H446)</f>
        <v>34.659999999999997</v>
      </c>
      <c r="J446" s="52">
        <v>0</v>
      </c>
      <c r="K446" s="52">
        <v>14.47</v>
      </c>
      <c r="L446" s="52">
        <v>7.1</v>
      </c>
      <c r="M446" s="50" t="s">
        <v>34</v>
      </c>
      <c r="N446" s="50"/>
      <c r="O446" s="53">
        <f>Ordini!$K446+Ordini!$J446+Ordini!$L446</f>
        <v>21.57</v>
      </c>
      <c r="P446" s="53">
        <f>Ordini!$I446-Ordini!$O446</f>
        <v>13.089999999999996</v>
      </c>
      <c r="Q446" s="50" t="str">
        <f>IF(Ordini!$P446&lt;0,"DA EVITARE","OK")</f>
        <v>OK</v>
      </c>
      <c r="R446" s="50"/>
    </row>
    <row r="447" spans="1:18" s="55" customFormat="1" x14ac:dyDescent="0.25">
      <c r="A447" s="56">
        <v>46175</v>
      </c>
      <c r="B447" s="57" t="s">
        <v>110</v>
      </c>
      <c r="C447" s="57" t="s">
        <v>20</v>
      </c>
      <c r="D447" s="57" t="s">
        <v>643</v>
      </c>
      <c r="E447" s="57" t="s">
        <v>412</v>
      </c>
      <c r="F447" s="58">
        <v>1</v>
      </c>
      <c r="G447" s="60">
        <v>28.19</v>
      </c>
      <c r="H447" s="59">
        <v>0</v>
      </c>
      <c r="I447" s="60">
        <f>Ordini!$G447/(1+Ordini!$H447)</f>
        <v>28.19</v>
      </c>
      <c r="J447" s="60">
        <v>0</v>
      </c>
      <c r="K447" s="60">
        <v>15.31</v>
      </c>
      <c r="L447" s="60">
        <v>5.87</v>
      </c>
      <c r="M447" s="58" t="s">
        <v>34</v>
      </c>
      <c r="N447" s="58"/>
      <c r="O447" s="61">
        <f>Ordini!$K447+Ordini!$J447+Ordini!$L447</f>
        <v>21.18</v>
      </c>
      <c r="P447" s="61">
        <f>Ordini!$I447-Ordini!$O447</f>
        <v>7.0100000000000016</v>
      </c>
      <c r="Q447" s="58" t="str">
        <f>IF(Ordini!$P447&lt;0,"DA EVITARE","OK")</f>
        <v>OK</v>
      </c>
      <c r="R447" s="58"/>
    </row>
    <row r="448" spans="1:18" s="62" customFormat="1" x14ac:dyDescent="0.25">
      <c r="A448" s="48">
        <v>46175</v>
      </c>
      <c r="B448" s="49" t="s">
        <v>111</v>
      </c>
      <c r="C448" s="49" t="s">
        <v>20</v>
      </c>
      <c r="D448" s="49" t="s">
        <v>644</v>
      </c>
      <c r="E448" s="49" t="s">
        <v>77</v>
      </c>
      <c r="F448" s="50">
        <v>1</v>
      </c>
      <c r="G448" s="52">
        <v>56.99</v>
      </c>
      <c r="H448" s="51">
        <v>0</v>
      </c>
      <c r="I448" s="52">
        <f>Ordini!$G448/(1+Ordini!$H448)</f>
        <v>56.99</v>
      </c>
      <c r="J448" s="52">
        <v>5.39</v>
      </c>
      <c r="K448" s="52">
        <v>26.82</v>
      </c>
      <c r="L448" s="52">
        <v>5.87</v>
      </c>
      <c r="M448" s="50" t="s">
        <v>22</v>
      </c>
      <c r="N448" s="50"/>
      <c r="O448" s="53">
        <f>Ordini!$K448+Ordini!$J448+Ordini!$L448</f>
        <v>38.08</v>
      </c>
      <c r="P448" s="53">
        <f>Ordini!$I448-Ordini!$O448</f>
        <v>18.910000000000004</v>
      </c>
      <c r="Q448" s="50" t="str">
        <f>IF(Ordini!$P448&lt;0,"DA EVITARE","OK")</f>
        <v>OK</v>
      </c>
      <c r="R448" s="50"/>
    </row>
    <row r="449" spans="1:18" s="55" customFormat="1" x14ac:dyDescent="0.25">
      <c r="A449" s="56">
        <v>46175</v>
      </c>
      <c r="B449" s="57" t="s">
        <v>111</v>
      </c>
      <c r="C449" s="57" t="s">
        <v>20</v>
      </c>
      <c r="D449" s="57" t="s">
        <v>645</v>
      </c>
      <c r="E449" s="57" t="s">
        <v>77</v>
      </c>
      <c r="F449" s="58">
        <v>1</v>
      </c>
      <c r="G449" s="60">
        <v>56.99</v>
      </c>
      <c r="H449" s="59">
        <v>0</v>
      </c>
      <c r="I449" s="60">
        <f>Ordini!$G449/(1+Ordini!$H449)</f>
        <v>56.99</v>
      </c>
      <c r="J449" s="60">
        <v>5.39</v>
      </c>
      <c r="K449" s="60">
        <v>26.82</v>
      </c>
      <c r="L449" s="60">
        <v>5.87</v>
      </c>
      <c r="M449" s="58" t="s">
        <v>22</v>
      </c>
      <c r="N449" s="58"/>
      <c r="O449" s="61">
        <f>Ordini!$K449+Ordini!$J449+Ordini!$L449</f>
        <v>38.08</v>
      </c>
      <c r="P449" s="61">
        <f>Ordini!$I449-Ordini!$O449</f>
        <v>18.910000000000004</v>
      </c>
      <c r="Q449" s="58" t="str">
        <f>IF(Ordini!$P449&lt;0,"DA EVITARE","OK")</f>
        <v>OK</v>
      </c>
      <c r="R449" s="58"/>
    </row>
    <row r="450" spans="1:18" s="62" customFormat="1" x14ac:dyDescent="0.25">
      <c r="A450" s="48">
        <v>46175</v>
      </c>
      <c r="B450" s="49" t="s">
        <v>111</v>
      </c>
      <c r="C450" s="49" t="s">
        <v>20</v>
      </c>
      <c r="D450" s="49" t="s">
        <v>646</v>
      </c>
      <c r="E450" s="49" t="s">
        <v>44</v>
      </c>
      <c r="F450" s="50">
        <v>1</v>
      </c>
      <c r="G450" s="52">
        <v>43.73</v>
      </c>
      <c r="H450" s="51">
        <v>0</v>
      </c>
      <c r="I450" s="52">
        <f>Ordini!$G450/(1+Ordini!$H450)</f>
        <v>43.73</v>
      </c>
      <c r="J450" s="52">
        <v>4.21</v>
      </c>
      <c r="K450" s="52">
        <v>20.970000000000002</v>
      </c>
      <c r="L450" s="52">
        <v>4.8499999999999996</v>
      </c>
      <c r="M450" s="50" t="s">
        <v>22</v>
      </c>
      <c r="N450" s="50"/>
      <c r="O450" s="53">
        <f>Ordini!$K450+Ordini!$J450+Ordini!$L450</f>
        <v>30.03</v>
      </c>
      <c r="P450" s="53">
        <f>Ordini!$I450-Ordini!$O450</f>
        <v>13.699999999999996</v>
      </c>
      <c r="Q450" s="50" t="str">
        <f>IF(Ordini!$P450&lt;0,"DA EVITARE","OK")</f>
        <v>OK</v>
      </c>
      <c r="R450" s="50"/>
    </row>
    <row r="451" spans="1:18" s="55" customFormat="1" x14ac:dyDescent="0.25">
      <c r="A451" s="56">
        <v>46175</v>
      </c>
      <c r="B451" s="57" t="s">
        <v>111</v>
      </c>
      <c r="C451" s="57" t="s">
        <v>20</v>
      </c>
      <c r="D451" s="57" t="s">
        <v>647</v>
      </c>
      <c r="E451" s="57" t="s">
        <v>77</v>
      </c>
      <c r="F451" s="58">
        <v>1</v>
      </c>
      <c r="G451" s="60">
        <v>56.99</v>
      </c>
      <c r="H451" s="59">
        <v>0</v>
      </c>
      <c r="I451" s="60">
        <f>Ordini!$G451/(1+Ordini!$H451)</f>
        <v>56.99</v>
      </c>
      <c r="J451" s="60">
        <v>5.39</v>
      </c>
      <c r="K451" s="60">
        <v>26.82</v>
      </c>
      <c r="L451" s="60">
        <v>5.87</v>
      </c>
      <c r="M451" s="58" t="s">
        <v>22</v>
      </c>
      <c r="N451" s="58"/>
      <c r="O451" s="61">
        <f>Ordini!$K451+Ordini!$J451+Ordini!$L451</f>
        <v>38.08</v>
      </c>
      <c r="P451" s="61">
        <f>Ordini!$I451-Ordini!$O451</f>
        <v>18.910000000000004</v>
      </c>
      <c r="Q451" s="58" t="str">
        <f>IF(Ordini!$P451&lt;0,"DA EVITARE","OK")</f>
        <v>OK</v>
      </c>
      <c r="R451" s="58"/>
    </row>
    <row r="452" spans="1:18" s="62" customFormat="1" x14ac:dyDescent="0.25">
      <c r="A452" s="48">
        <v>46175</v>
      </c>
      <c r="B452" s="49" t="s">
        <v>111</v>
      </c>
      <c r="C452" s="49" t="s">
        <v>20</v>
      </c>
      <c r="D452" s="49" t="s">
        <v>648</v>
      </c>
      <c r="E452" s="49" t="s">
        <v>44</v>
      </c>
      <c r="F452" s="50">
        <v>1</v>
      </c>
      <c r="G452" s="52">
        <v>43.73</v>
      </c>
      <c r="H452" s="51">
        <v>0</v>
      </c>
      <c r="I452" s="52">
        <f>Ordini!$G452/(1+Ordini!$H452)</f>
        <v>43.73</v>
      </c>
      <c r="J452" s="52">
        <v>4.21</v>
      </c>
      <c r="K452" s="52">
        <v>20.970000000000002</v>
      </c>
      <c r="L452" s="52">
        <v>4.8499999999999996</v>
      </c>
      <c r="M452" s="50" t="s">
        <v>22</v>
      </c>
      <c r="N452" s="50"/>
      <c r="O452" s="53">
        <f>Ordini!$K452+Ordini!$J452+Ordini!$L452</f>
        <v>30.03</v>
      </c>
      <c r="P452" s="53">
        <f>Ordini!$I452-Ordini!$O452</f>
        <v>13.699999999999996</v>
      </c>
      <c r="Q452" s="50" t="str">
        <f>IF(Ordini!$P452&lt;0,"DA EVITARE","OK")</f>
        <v>OK</v>
      </c>
      <c r="R452" s="50"/>
    </row>
    <row r="453" spans="1:18" s="55" customFormat="1" x14ac:dyDescent="0.25">
      <c r="A453" s="56">
        <v>46175</v>
      </c>
      <c r="B453" s="57" t="s">
        <v>109</v>
      </c>
      <c r="C453" s="57" t="s">
        <v>20</v>
      </c>
      <c r="D453" s="57" t="s">
        <v>656</v>
      </c>
      <c r="E453" s="57" t="s">
        <v>653</v>
      </c>
      <c r="F453" s="58">
        <v>5</v>
      </c>
      <c r="G453" s="60">
        <v>250</v>
      </c>
      <c r="H453" s="59">
        <v>0</v>
      </c>
      <c r="I453" s="60">
        <f>Ordini!$G453/(1+Ordini!$H453)</f>
        <v>250</v>
      </c>
      <c r="J453" s="60">
        <v>47.12</v>
      </c>
      <c r="K453" s="60">
        <v>147.92500000000001</v>
      </c>
      <c r="L453" s="60">
        <v>4.8499999999999996</v>
      </c>
      <c r="M453" s="58" t="s">
        <v>34</v>
      </c>
      <c r="N453" s="58"/>
      <c r="O453" s="61">
        <f>Ordini!$K453+Ordini!$J453+Ordini!$L453</f>
        <v>199.89500000000001</v>
      </c>
      <c r="P453" s="61">
        <f>Ordini!$I453-Ordini!$O453</f>
        <v>50.10499999999999</v>
      </c>
      <c r="Q453" s="58" t="str">
        <f>IF(Ordini!$P453&lt;0,"DA EVITARE","OK")</f>
        <v>OK</v>
      </c>
      <c r="R453" s="58"/>
    </row>
    <row r="454" spans="1:18" s="62" customFormat="1" x14ac:dyDescent="0.25">
      <c r="A454" s="48">
        <v>46175</v>
      </c>
      <c r="B454" s="49" t="s">
        <v>109</v>
      </c>
      <c r="C454" s="49" t="s">
        <v>20</v>
      </c>
      <c r="D454" s="49" t="s">
        <v>654</v>
      </c>
      <c r="E454" s="49" t="s">
        <v>655</v>
      </c>
      <c r="F454" s="50">
        <v>1</v>
      </c>
      <c r="G454" s="52">
        <v>21</v>
      </c>
      <c r="H454" s="51">
        <v>0</v>
      </c>
      <c r="I454" s="52">
        <f>Ordini!$G454/(1+Ordini!$H454)</f>
        <v>21</v>
      </c>
      <c r="J454" s="52">
        <v>3.94</v>
      </c>
      <c r="K454" s="52">
        <v>12.419599999999999</v>
      </c>
      <c r="L454" s="52">
        <v>0</v>
      </c>
      <c r="M454" s="50" t="s">
        <v>22</v>
      </c>
      <c r="N454" s="50"/>
      <c r="O454" s="53">
        <f>Ordini!$K454+Ordini!$J454+Ordini!$L454</f>
        <v>16.3596</v>
      </c>
      <c r="P454" s="53">
        <f>Ordini!$I454-Ordini!$O454</f>
        <v>4.6403999999999996</v>
      </c>
      <c r="Q454" s="50" t="str">
        <f>IF(Ordini!$P454&lt;0,"DA EVITARE","OK")</f>
        <v>OK</v>
      </c>
      <c r="R454" s="50"/>
    </row>
    <row r="455" spans="1:18" s="55" customFormat="1" x14ac:dyDescent="0.25">
      <c r="A455" s="56">
        <v>46175</v>
      </c>
      <c r="B455" s="57" t="s">
        <v>110</v>
      </c>
      <c r="C455" s="57" t="s">
        <v>20</v>
      </c>
      <c r="D455" s="57" t="s">
        <v>642</v>
      </c>
      <c r="E455" s="57" t="s">
        <v>73</v>
      </c>
      <c r="F455" s="58">
        <v>1</v>
      </c>
      <c r="G455" s="60">
        <v>34.659999999999997</v>
      </c>
      <c r="H455" s="59">
        <v>0</v>
      </c>
      <c r="I455" s="60">
        <f>Ordini!$G455/(1+Ordini!$H455)</f>
        <v>34.659999999999997</v>
      </c>
      <c r="J455" s="60">
        <v>0</v>
      </c>
      <c r="K455" s="60">
        <v>14.47</v>
      </c>
      <c r="L455" s="60">
        <v>7.1</v>
      </c>
      <c r="M455" s="58" t="s">
        <v>34</v>
      </c>
      <c r="N455" s="58"/>
      <c r="O455" s="61">
        <f>Ordini!$K455+Ordini!$J455+Ordini!$L455</f>
        <v>21.57</v>
      </c>
      <c r="P455" s="61">
        <f>Ordini!$I455-Ordini!$O455</f>
        <v>13.089999999999996</v>
      </c>
      <c r="Q455" s="58" t="str">
        <f>IF(Ordini!$P455&lt;0,"DA EVITARE","OK")</f>
        <v>OK</v>
      </c>
      <c r="R455" s="58"/>
    </row>
    <row r="456" spans="1:18" s="62" customFormat="1" x14ac:dyDescent="0.25">
      <c r="A456" s="48">
        <v>46175</v>
      </c>
      <c r="B456" s="49" t="s">
        <v>110</v>
      </c>
      <c r="C456" s="49" t="s">
        <v>20</v>
      </c>
      <c r="D456" s="49" t="s">
        <v>641</v>
      </c>
      <c r="E456" s="49" t="s">
        <v>73</v>
      </c>
      <c r="F456" s="50">
        <v>1</v>
      </c>
      <c r="G456" s="52">
        <v>34.659999999999997</v>
      </c>
      <c r="H456" s="51">
        <v>0</v>
      </c>
      <c r="I456" s="52">
        <f>Ordini!$G456/(1+Ordini!$H456)</f>
        <v>34.659999999999997</v>
      </c>
      <c r="J456" s="52">
        <v>0</v>
      </c>
      <c r="K456" s="52">
        <v>14.47</v>
      </c>
      <c r="L456" s="52">
        <v>7.1</v>
      </c>
      <c r="M456" s="50" t="s">
        <v>34</v>
      </c>
      <c r="N456" s="50"/>
      <c r="O456" s="53">
        <f>Ordini!$K456+Ordini!$J456+Ordini!$L456</f>
        <v>21.57</v>
      </c>
      <c r="P456" s="53">
        <f>Ordini!$I456-Ordini!$O456</f>
        <v>13.089999999999996</v>
      </c>
      <c r="Q456" s="50" t="str">
        <f>IF(Ordini!$P456&lt;0,"DA EVITARE","OK")</f>
        <v>OK</v>
      </c>
      <c r="R456" s="50"/>
    </row>
    <row r="457" spans="1:18" s="55" customFormat="1" x14ac:dyDescent="0.25">
      <c r="A457" s="56">
        <v>46175</v>
      </c>
      <c r="B457" s="57" t="s">
        <v>109</v>
      </c>
      <c r="C457" s="57" t="s">
        <v>20</v>
      </c>
      <c r="D457" s="57" t="s">
        <v>656</v>
      </c>
      <c r="E457" s="57" t="s">
        <v>707</v>
      </c>
      <c r="F457" s="58">
        <v>5</v>
      </c>
      <c r="G457" s="60">
        <v>250</v>
      </c>
      <c r="H457" s="59">
        <v>0</v>
      </c>
      <c r="I457" s="60">
        <f>Ordini!$G457/(1+Ordini!$H457)</f>
        <v>250</v>
      </c>
      <c r="J457" s="60">
        <v>47.12</v>
      </c>
      <c r="K457" s="60">
        <v>147.92500000000001</v>
      </c>
      <c r="L457" s="60">
        <v>4.8499999999999996</v>
      </c>
      <c r="M457" s="58" t="s">
        <v>22</v>
      </c>
      <c r="N457" s="58"/>
      <c r="O457" s="61">
        <f>Ordini!$K457+Ordini!$J457+Ordini!$L457</f>
        <v>199.89500000000001</v>
      </c>
      <c r="P457" s="61">
        <f>Ordini!$I457-Ordini!$O457</f>
        <v>50.10499999999999</v>
      </c>
      <c r="Q457" s="58" t="str">
        <f>IF(Ordini!$P457&lt;0,"DA EVITARE","OK")</f>
        <v>OK</v>
      </c>
      <c r="R457" s="58"/>
    </row>
    <row r="458" spans="1:18" s="55" customFormat="1" x14ac:dyDescent="0.25">
      <c r="A458" s="56">
        <v>46175</v>
      </c>
      <c r="B458" s="57" t="s">
        <v>110</v>
      </c>
      <c r="C458" s="57" t="s">
        <v>20</v>
      </c>
      <c r="D458" s="57" t="s">
        <v>640</v>
      </c>
      <c r="E458" s="57" t="s">
        <v>73</v>
      </c>
      <c r="F458" s="58">
        <v>1</v>
      </c>
      <c r="G458" s="60">
        <v>34.659999999999997</v>
      </c>
      <c r="H458" s="59">
        <v>0</v>
      </c>
      <c r="I458" s="60">
        <f>Ordini!$G458/(1+Ordini!$H458)</f>
        <v>34.659999999999997</v>
      </c>
      <c r="J458" s="60">
        <v>0</v>
      </c>
      <c r="K458" s="60">
        <v>14.47</v>
      </c>
      <c r="L458" s="60">
        <v>7.1</v>
      </c>
      <c r="M458" s="58" t="s">
        <v>34</v>
      </c>
      <c r="N458" s="58"/>
      <c r="O458" s="61">
        <f>Ordini!$K458+Ordini!$J458+Ordini!$L458</f>
        <v>21.57</v>
      </c>
      <c r="P458" s="61">
        <f>Ordini!$I458-Ordini!$O458</f>
        <v>13.089999999999996</v>
      </c>
      <c r="Q458" s="58" t="str">
        <f>IF(Ordini!$P458&lt;0,"DA EVITARE","OK")</f>
        <v>OK</v>
      </c>
      <c r="R458" s="58"/>
    </row>
    <row r="459" spans="1:18" s="62" customFormat="1" x14ac:dyDescent="0.25">
      <c r="A459" s="48">
        <v>46176</v>
      </c>
      <c r="B459" s="49" t="s">
        <v>110</v>
      </c>
      <c r="C459" s="49" t="s">
        <v>20</v>
      </c>
      <c r="D459" s="49" t="s">
        <v>657</v>
      </c>
      <c r="E459" s="49" t="s">
        <v>412</v>
      </c>
      <c r="F459" s="50">
        <v>1</v>
      </c>
      <c r="G459" s="52">
        <v>28.19</v>
      </c>
      <c r="H459" s="51">
        <v>0</v>
      </c>
      <c r="I459" s="52">
        <f>Ordini!$G459/(1+Ordini!$H459)</f>
        <v>28.19</v>
      </c>
      <c r="J459" s="52">
        <v>0</v>
      </c>
      <c r="K459" s="52">
        <v>15.05</v>
      </c>
      <c r="L459" s="52">
        <v>5.87</v>
      </c>
      <c r="M459" s="50" t="s">
        <v>34</v>
      </c>
      <c r="N459" s="50"/>
      <c r="O459" s="53">
        <f>Ordini!$K459+Ordini!$J459+Ordini!$L459</f>
        <v>20.92</v>
      </c>
      <c r="P459" s="53">
        <f>Ordini!$I459-Ordini!$O459</f>
        <v>7.27</v>
      </c>
      <c r="Q459" s="50" t="str">
        <f>IF(Ordini!$P459&lt;0,"DA EVITARE","OK")</f>
        <v>OK</v>
      </c>
      <c r="R459" s="50"/>
    </row>
    <row r="460" spans="1:18" s="55" customFormat="1" x14ac:dyDescent="0.25">
      <c r="A460" s="56">
        <v>46176</v>
      </c>
      <c r="B460" s="57" t="s">
        <v>110</v>
      </c>
      <c r="C460" s="57" t="s">
        <v>20</v>
      </c>
      <c r="D460" s="57" t="s">
        <v>658</v>
      </c>
      <c r="E460" s="57" t="s">
        <v>72</v>
      </c>
      <c r="F460" s="58">
        <v>1</v>
      </c>
      <c r="G460" s="60">
        <v>19.559999999999999</v>
      </c>
      <c r="H460" s="59">
        <v>0</v>
      </c>
      <c r="I460" s="60">
        <f>Ordini!$G460/(1+Ordini!$H460)</f>
        <v>19.559999999999999</v>
      </c>
      <c r="J460" s="60">
        <v>0</v>
      </c>
      <c r="K460" s="60">
        <v>6.18</v>
      </c>
      <c r="L460" s="60">
        <v>4.7699999999999996</v>
      </c>
      <c r="M460" s="58" t="s">
        <v>34</v>
      </c>
      <c r="N460" s="58"/>
      <c r="O460" s="61">
        <f>Ordini!$K460+Ordini!$J460+Ordini!$L460</f>
        <v>10.95</v>
      </c>
      <c r="P460" s="61">
        <f>Ordini!$I460-Ordini!$O460</f>
        <v>8.61</v>
      </c>
      <c r="Q460" s="58" t="str">
        <f>IF(Ordini!$P460&lt;0,"DA EVITARE","OK")</f>
        <v>OK</v>
      </c>
      <c r="R460" s="58"/>
    </row>
    <row r="461" spans="1:18" s="62" customFormat="1" x14ac:dyDescent="0.25">
      <c r="A461" s="48">
        <v>46176</v>
      </c>
      <c r="B461" s="49" t="s">
        <v>111</v>
      </c>
      <c r="C461" s="49" t="s">
        <v>20</v>
      </c>
      <c r="D461" s="49" t="s">
        <v>714</v>
      </c>
      <c r="E461" s="49" t="s">
        <v>414</v>
      </c>
      <c r="F461" s="50">
        <v>1</v>
      </c>
      <c r="G461" s="52">
        <v>20.66</v>
      </c>
      <c r="H461" s="51">
        <v>0</v>
      </c>
      <c r="I461" s="52">
        <f>Ordini!$G461/(1+Ordini!$H461)</f>
        <v>20.66</v>
      </c>
      <c r="J461" s="52">
        <v>3.31</v>
      </c>
      <c r="K461" s="52">
        <v>8.24</v>
      </c>
      <c r="L461" s="52">
        <v>4.8499999999999996</v>
      </c>
      <c r="M461" s="50" t="s">
        <v>22</v>
      </c>
      <c r="N461" s="50"/>
      <c r="O461" s="53">
        <f>Ordini!$K461+Ordini!$J461+Ordini!$L461</f>
        <v>16.399999999999999</v>
      </c>
      <c r="P461" s="53">
        <f>Ordini!$I461-Ordini!$O461</f>
        <v>4.2600000000000016</v>
      </c>
      <c r="Q461" s="50" t="str">
        <f>IF(Ordini!$P461&lt;0,"DA EVITARE","OK")</f>
        <v>OK</v>
      </c>
      <c r="R461" s="50"/>
    </row>
    <row r="462" spans="1:18" s="55" customFormat="1" x14ac:dyDescent="0.25">
      <c r="A462" s="56">
        <v>46176</v>
      </c>
      <c r="B462" s="57" t="s">
        <v>111</v>
      </c>
      <c r="C462" s="57" t="s">
        <v>20</v>
      </c>
      <c r="D462" s="57" t="s">
        <v>715</v>
      </c>
      <c r="E462" s="57" t="s">
        <v>77</v>
      </c>
      <c r="F462" s="58">
        <v>1</v>
      </c>
      <c r="G462" s="60">
        <v>56.99</v>
      </c>
      <c r="H462" s="59">
        <v>0</v>
      </c>
      <c r="I462" s="60">
        <f>Ordini!$G462/(1+Ordini!$H462)</f>
        <v>56.99</v>
      </c>
      <c r="J462" s="60">
        <v>5.39</v>
      </c>
      <c r="K462" s="60">
        <v>26.82</v>
      </c>
      <c r="L462" s="60">
        <v>5.87</v>
      </c>
      <c r="M462" s="58" t="s">
        <v>22</v>
      </c>
      <c r="N462" s="58"/>
      <c r="O462" s="61">
        <f>Ordini!$K462+Ordini!$J462+Ordini!$L462</f>
        <v>38.08</v>
      </c>
      <c r="P462" s="61">
        <f>Ordini!$I462-Ordini!$O462</f>
        <v>18.910000000000004</v>
      </c>
      <c r="Q462" s="58" t="str">
        <f>IF(Ordini!$P462&lt;0,"DA EVITARE","OK")</f>
        <v>OK</v>
      </c>
      <c r="R462" s="58"/>
    </row>
    <row r="463" spans="1:18" s="62" customFormat="1" x14ac:dyDescent="0.25">
      <c r="A463" s="48">
        <v>46176</v>
      </c>
      <c r="B463" s="49" t="s">
        <v>111</v>
      </c>
      <c r="C463" s="49" t="s">
        <v>20</v>
      </c>
      <c r="D463" s="49" t="s">
        <v>716</v>
      </c>
      <c r="E463" s="49" t="s">
        <v>73</v>
      </c>
      <c r="F463" s="50">
        <v>1</v>
      </c>
      <c r="G463" s="52">
        <v>35</v>
      </c>
      <c r="H463" s="51">
        <v>0</v>
      </c>
      <c r="I463" s="52">
        <f>Ordini!$G463/(1+Ordini!$H463)</f>
        <v>35</v>
      </c>
      <c r="J463" s="52">
        <v>5.39</v>
      </c>
      <c r="K463" s="52">
        <v>14.47</v>
      </c>
      <c r="L463" s="52">
        <v>7.1</v>
      </c>
      <c r="M463" s="50" t="s">
        <v>22</v>
      </c>
      <c r="N463" s="50"/>
      <c r="O463" s="53">
        <f>Ordini!$K463+Ordini!$J463+Ordini!$L463</f>
        <v>26.96</v>
      </c>
      <c r="P463" s="53">
        <f>Ordini!$I463-Ordini!$O463</f>
        <v>8.0399999999999991</v>
      </c>
      <c r="Q463" s="50" t="str">
        <f>IF(Ordini!$P463&lt;0,"DA EVITARE","OK")</f>
        <v>OK</v>
      </c>
      <c r="R463" s="50"/>
    </row>
    <row r="464" spans="1:18" s="55" customFormat="1" x14ac:dyDescent="0.25">
      <c r="A464" s="56">
        <v>46176</v>
      </c>
      <c r="B464" s="57" t="s">
        <v>109</v>
      </c>
      <c r="C464" s="57" t="s">
        <v>20</v>
      </c>
      <c r="D464" s="57" t="s">
        <v>659</v>
      </c>
      <c r="E464" s="57" t="s">
        <v>708</v>
      </c>
      <c r="F464" s="58">
        <v>2</v>
      </c>
      <c r="G464" s="60">
        <v>64</v>
      </c>
      <c r="H464" s="59">
        <v>0</v>
      </c>
      <c r="I464" s="60">
        <f>Ordini!$G464/(1+Ordini!$H464)</f>
        <v>64</v>
      </c>
      <c r="J464" s="60">
        <v>12.06</v>
      </c>
      <c r="K464" s="60">
        <v>37.8688</v>
      </c>
      <c r="L464" s="60">
        <v>4.7699999999999996</v>
      </c>
      <c r="M464" s="58" t="s">
        <v>34</v>
      </c>
      <c r="N464" s="58"/>
      <c r="O464" s="61">
        <f>Ordini!$K464+Ordini!$J464+Ordini!$L464</f>
        <v>54.698800000000006</v>
      </c>
      <c r="P464" s="61">
        <f>Ordini!$I464-Ordini!$O464</f>
        <v>9.3011999999999944</v>
      </c>
      <c r="Q464" s="58" t="str">
        <f>IF(Ordini!$P464&lt;0,"DA EVITARE","OK")</f>
        <v>OK</v>
      </c>
      <c r="R464" s="58"/>
    </row>
    <row r="465" spans="1:18" s="62" customFormat="1" x14ac:dyDescent="0.25">
      <c r="A465" s="48">
        <v>46176</v>
      </c>
      <c r="B465" s="49" t="s">
        <v>109</v>
      </c>
      <c r="C465" s="49" t="s">
        <v>20</v>
      </c>
      <c r="D465" s="49" t="s">
        <v>660</v>
      </c>
      <c r="E465" s="49" t="s">
        <v>69</v>
      </c>
      <c r="F465" s="50">
        <v>1</v>
      </c>
      <c r="G465" s="52">
        <v>89.99</v>
      </c>
      <c r="H465" s="51">
        <v>0</v>
      </c>
      <c r="I465" s="52">
        <f>Ordini!$G465/(1+Ordini!$H465)</f>
        <v>89.99</v>
      </c>
      <c r="J465" s="52">
        <v>16.97</v>
      </c>
      <c r="K465" s="52">
        <v>38.61</v>
      </c>
      <c r="L465" s="52">
        <v>8.07</v>
      </c>
      <c r="M465" s="50" t="s">
        <v>34</v>
      </c>
      <c r="N465" s="50"/>
      <c r="O465" s="53">
        <f>Ordini!$K465+Ordini!$J465+Ordini!$L465</f>
        <v>63.65</v>
      </c>
      <c r="P465" s="53">
        <f>Ordini!$I465-Ordini!$O465</f>
        <v>26.339999999999996</v>
      </c>
      <c r="Q465" s="50" t="str">
        <f>IF(Ordini!$P465&lt;0,"DA EVITARE","OK")</f>
        <v>OK</v>
      </c>
      <c r="R465" s="50"/>
    </row>
    <row r="466" spans="1:18" s="55" customFormat="1" x14ac:dyDescent="0.25">
      <c r="A466" s="56">
        <v>46176</v>
      </c>
      <c r="B466" s="57" t="s">
        <v>109</v>
      </c>
      <c r="C466" s="57" t="s">
        <v>20</v>
      </c>
      <c r="D466" s="57" t="s">
        <v>661</v>
      </c>
      <c r="E466" s="57" t="s">
        <v>709</v>
      </c>
      <c r="F466" s="58">
        <v>1</v>
      </c>
      <c r="G466" s="60">
        <v>60</v>
      </c>
      <c r="H466" s="59">
        <v>0</v>
      </c>
      <c r="I466" s="60">
        <f>Ordini!$G466/(1+Ordini!$H466)</f>
        <v>60</v>
      </c>
      <c r="J466" s="60">
        <v>11.3</v>
      </c>
      <c r="K466" s="60">
        <v>35.502000000000002</v>
      </c>
      <c r="L466" s="60">
        <v>4.7699999999999996</v>
      </c>
      <c r="M466" s="58" t="s">
        <v>34</v>
      </c>
      <c r="N466" s="58"/>
      <c r="O466" s="61">
        <f>Ordini!$K466+Ordini!$J466+Ordini!$L466</f>
        <v>51.572000000000003</v>
      </c>
      <c r="P466" s="61">
        <f>Ordini!$I466-Ordini!$O466</f>
        <v>8.4279999999999973</v>
      </c>
      <c r="Q466" s="58" t="str">
        <f>IF(Ordini!$P466&lt;0,"DA EVITARE","OK")</f>
        <v>OK</v>
      </c>
      <c r="R466" s="58"/>
    </row>
    <row r="467" spans="1:18" s="62" customFormat="1" x14ac:dyDescent="0.25">
      <c r="A467" s="48">
        <v>46176</v>
      </c>
      <c r="B467" s="49" t="s">
        <v>111</v>
      </c>
      <c r="C467" s="49" t="s">
        <v>20</v>
      </c>
      <c r="D467" s="49" t="s">
        <v>717</v>
      </c>
      <c r="E467" s="49" t="s">
        <v>77</v>
      </c>
      <c r="F467" s="50">
        <v>1</v>
      </c>
      <c r="G467" s="52">
        <v>56.99</v>
      </c>
      <c r="H467" s="51">
        <v>0</v>
      </c>
      <c r="I467" s="52">
        <f>Ordini!$G467/(1+Ordini!$H467)</f>
        <v>56.99</v>
      </c>
      <c r="J467" s="52">
        <v>5.39</v>
      </c>
      <c r="K467" s="52">
        <v>26.82</v>
      </c>
      <c r="L467" s="52">
        <v>5.87</v>
      </c>
      <c r="M467" s="50" t="s">
        <v>22</v>
      </c>
      <c r="N467" s="50"/>
      <c r="O467" s="53">
        <f>Ordini!$K467+Ordini!$J467+Ordini!$L467</f>
        <v>38.08</v>
      </c>
      <c r="P467" s="53">
        <f>Ordini!$I467-Ordini!$O467</f>
        <v>18.910000000000004</v>
      </c>
      <c r="Q467" s="50" t="str">
        <f>IF(Ordini!$P467&lt;0,"DA EVITARE","OK")</f>
        <v>OK</v>
      </c>
      <c r="R467" s="50"/>
    </row>
    <row r="468" spans="1:18" s="55" customFormat="1" x14ac:dyDescent="0.25">
      <c r="A468" s="56">
        <v>46176</v>
      </c>
      <c r="B468" s="57" t="s">
        <v>111</v>
      </c>
      <c r="C468" s="57" t="s">
        <v>20</v>
      </c>
      <c r="D468" s="57" t="s">
        <v>718</v>
      </c>
      <c r="E468" s="57" t="s">
        <v>77</v>
      </c>
      <c r="F468" s="58">
        <v>1</v>
      </c>
      <c r="G468" s="60">
        <v>56.99</v>
      </c>
      <c r="H468" s="59">
        <v>0</v>
      </c>
      <c r="I468" s="60">
        <f>Ordini!$G468/(1+Ordini!$H468)</f>
        <v>56.99</v>
      </c>
      <c r="J468" s="60">
        <v>5.39</v>
      </c>
      <c r="K468" s="60">
        <v>26.82</v>
      </c>
      <c r="L468" s="60">
        <v>5.87</v>
      </c>
      <c r="M468" s="58" t="s">
        <v>22</v>
      </c>
      <c r="N468" s="58"/>
      <c r="O468" s="61">
        <f>Ordini!$K468+Ordini!$J468+Ordini!$L468</f>
        <v>38.08</v>
      </c>
      <c r="P468" s="61">
        <f>Ordini!$I468-Ordini!$O468</f>
        <v>18.910000000000004</v>
      </c>
      <c r="Q468" s="58" t="str">
        <f>IF(Ordini!$P468&lt;0,"DA EVITARE","OK")</f>
        <v>OK</v>
      </c>
      <c r="R468" s="58"/>
    </row>
    <row r="469" spans="1:18" s="62" customFormat="1" x14ac:dyDescent="0.25">
      <c r="A469" s="48">
        <v>46177</v>
      </c>
      <c r="B469" s="49" t="s">
        <v>111</v>
      </c>
      <c r="C469" s="49" t="s">
        <v>20</v>
      </c>
      <c r="D469" s="49" t="s">
        <v>719</v>
      </c>
      <c r="E469" s="49" t="s">
        <v>414</v>
      </c>
      <c r="F469" s="50">
        <v>1</v>
      </c>
      <c r="G469" s="52">
        <v>20.66</v>
      </c>
      <c r="H469" s="51">
        <v>0</v>
      </c>
      <c r="I469" s="52">
        <f>Ordini!$G469/(1+Ordini!$H469)</f>
        <v>20.66</v>
      </c>
      <c r="J469" s="52">
        <v>3.31</v>
      </c>
      <c r="K469" s="52">
        <v>8.24</v>
      </c>
      <c r="L469" s="52">
        <v>4.8499999999999996</v>
      </c>
      <c r="M469" s="50" t="s">
        <v>22</v>
      </c>
      <c r="N469" s="50"/>
      <c r="O469" s="53">
        <f>Ordini!$K469+Ordini!$J469+Ordini!$L469</f>
        <v>16.399999999999999</v>
      </c>
      <c r="P469" s="53">
        <f>Ordini!$I469-Ordini!$O469</f>
        <v>4.2600000000000016</v>
      </c>
      <c r="Q469" s="50" t="str">
        <f>IF(Ordini!$P469&lt;0,"DA EVITARE","OK")</f>
        <v>OK</v>
      </c>
      <c r="R469" s="50"/>
    </row>
    <row r="470" spans="1:18" s="55" customFormat="1" x14ac:dyDescent="0.25">
      <c r="A470" s="56">
        <v>46177</v>
      </c>
      <c r="B470" s="57" t="s">
        <v>111</v>
      </c>
      <c r="C470" s="57" t="s">
        <v>20</v>
      </c>
      <c r="D470" s="57" t="s">
        <v>720</v>
      </c>
      <c r="E470" s="57" t="s">
        <v>73</v>
      </c>
      <c r="F470" s="58">
        <v>1</v>
      </c>
      <c r="G470" s="60">
        <v>33.25</v>
      </c>
      <c r="H470" s="59">
        <v>0</v>
      </c>
      <c r="I470" s="60">
        <f>Ordini!$G470/(1+Ordini!$H470)</f>
        <v>33.25</v>
      </c>
      <c r="J470" s="60">
        <v>4.8</v>
      </c>
      <c r="K470" s="60">
        <v>14.47</v>
      </c>
      <c r="L470" s="60">
        <v>7.1</v>
      </c>
      <c r="M470" s="58" t="s">
        <v>22</v>
      </c>
      <c r="N470" s="58"/>
      <c r="O470" s="61">
        <f>Ordini!$K470+Ordini!$J470+Ordini!$L470</f>
        <v>26.369999999999997</v>
      </c>
      <c r="P470" s="61">
        <f>Ordini!$I470-Ordini!$O470</f>
        <v>6.8800000000000026</v>
      </c>
      <c r="Q470" s="58" t="str">
        <f>IF(Ordini!$P470&lt;0,"DA EVITARE","OK")</f>
        <v>OK</v>
      </c>
      <c r="R470" s="58"/>
    </row>
    <row r="471" spans="1:18" s="62" customFormat="1" x14ac:dyDescent="0.25">
      <c r="A471" s="48">
        <v>46177</v>
      </c>
      <c r="B471" s="49" t="s">
        <v>110</v>
      </c>
      <c r="C471" s="49" t="s">
        <v>20</v>
      </c>
      <c r="D471" s="49" t="s">
        <v>662</v>
      </c>
      <c r="E471" s="49" t="s">
        <v>410</v>
      </c>
      <c r="F471" s="50">
        <v>1</v>
      </c>
      <c r="G471" s="52">
        <v>117.32</v>
      </c>
      <c r="H471" s="51">
        <v>0</v>
      </c>
      <c r="I471" s="52">
        <f>Ordini!$G471/(1+Ordini!$H471)</f>
        <v>117.32</v>
      </c>
      <c r="J471" s="52">
        <v>0</v>
      </c>
      <c r="K471" s="52">
        <v>64.8</v>
      </c>
      <c r="L471" s="52">
        <v>10.247999999999999</v>
      </c>
      <c r="M471" s="50" t="s">
        <v>34</v>
      </c>
      <c r="N471" s="50"/>
      <c r="O471" s="53">
        <f>Ordini!$K471+Ordini!$J471+Ordini!$L471</f>
        <v>75.048000000000002</v>
      </c>
      <c r="P471" s="53">
        <f>Ordini!$I471-Ordini!$O471</f>
        <v>42.271999999999991</v>
      </c>
      <c r="Q471" s="50" t="str">
        <f>IF(Ordini!$P471&lt;0,"DA EVITARE","OK")</f>
        <v>OK</v>
      </c>
      <c r="R471" s="50"/>
    </row>
    <row r="472" spans="1:18" s="55" customFormat="1" x14ac:dyDescent="0.25">
      <c r="A472" s="56">
        <v>46178</v>
      </c>
      <c r="B472" s="57" t="s">
        <v>110</v>
      </c>
      <c r="C472" s="57" t="s">
        <v>20</v>
      </c>
      <c r="D472" s="57" t="s">
        <v>663</v>
      </c>
      <c r="E472" s="57" t="s">
        <v>410</v>
      </c>
      <c r="F472" s="58">
        <v>1</v>
      </c>
      <c r="G472" s="60">
        <v>123.18</v>
      </c>
      <c r="H472" s="59">
        <v>0</v>
      </c>
      <c r="I472" s="60">
        <f>Ordini!$G472/(1+Ordini!$H472)</f>
        <v>123.18</v>
      </c>
      <c r="J472" s="60">
        <v>0</v>
      </c>
      <c r="K472" s="60">
        <v>64.8</v>
      </c>
      <c r="L472" s="60">
        <v>10.247999999999999</v>
      </c>
      <c r="M472" s="58" t="s">
        <v>34</v>
      </c>
      <c r="N472" s="58"/>
      <c r="O472" s="61">
        <f>Ordini!$K472+Ordini!$J472+Ordini!$L472</f>
        <v>75.048000000000002</v>
      </c>
      <c r="P472" s="61">
        <f>Ordini!$I472-Ordini!$O472</f>
        <v>48.132000000000005</v>
      </c>
      <c r="Q472" s="58" t="str">
        <f>IF(Ordini!$P472&lt;0,"DA EVITARE","OK")</f>
        <v>OK</v>
      </c>
      <c r="R472" s="58"/>
    </row>
    <row r="473" spans="1:18" s="62" customFormat="1" x14ac:dyDescent="0.25">
      <c r="A473" s="48">
        <v>46178</v>
      </c>
      <c r="B473" s="49" t="s">
        <v>110</v>
      </c>
      <c r="C473" s="49" t="s">
        <v>20</v>
      </c>
      <c r="D473" s="49" t="s">
        <v>664</v>
      </c>
      <c r="E473" s="49" t="s">
        <v>412</v>
      </c>
      <c r="F473" s="50">
        <v>1</v>
      </c>
      <c r="G473" s="52">
        <v>28.19</v>
      </c>
      <c r="H473" s="51">
        <v>0</v>
      </c>
      <c r="I473" s="52">
        <f>Ordini!$G473/(1+Ordini!$H473)</f>
        <v>28.19</v>
      </c>
      <c r="J473" s="52">
        <v>0</v>
      </c>
      <c r="K473" s="52">
        <v>15.05</v>
      </c>
      <c r="L473" s="52">
        <v>5.87</v>
      </c>
      <c r="M473" s="50" t="s">
        <v>34</v>
      </c>
      <c r="N473" s="50"/>
      <c r="O473" s="53">
        <f>Ordini!$K473+Ordini!$J473+Ordini!$L473</f>
        <v>20.92</v>
      </c>
      <c r="P473" s="53">
        <f>Ordini!$I473-Ordini!$O473</f>
        <v>7.27</v>
      </c>
      <c r="Q473" s="50" t="str">
        <f>IF(Ordini!$P473&lt;0,"DA EVITARE","OK")</f>
        <v>OK</v>
      </c>
      <c r="R473" s="50"/>
    </row>
    <row r="474" spans="1:18" s="55" customFormat="1" x14ac:dyDescent="0.25">
      <c r="A474" s="56">
        <v>46178</v>
      </c>
      <c r="B474" s="57" t="s">
        <v>110</v>
      </c>
      <c r="C474" s="57" t="s">
        <v>20</v>
      </c>
      <c r="D474" s="57" t="s">
        <v>665</v>
      </c>
      <c r="E474" s="57" t="s">
        <v>410</v>
      </c>
      <c r="F474" s="58">
        <v>1</v>
      </c>
      <c r="G474" s="60">
        <v>123.18</v>
      </c>
      <c r="H474" s="59">
        <v>0</v>
      </c>
      <c r="I474" s="60">
        <f>Ordini!$G474/(1+Ordini!$H474)</f>
        <v>123.18</v>
      </c>
      <c r="J474" s="60">
        <v>0</v>
      </c>
      <c r="K474" s="60">
        <v>64.8</v>
      </c>
      <c r="L474" s="60">
        <v>10.247999999999999</v>
      </c>
      <c r="M474" s="58" t="s">
        <v>34</v>
      </c>
      <c r="N474" s="58"/>
      <c r="O474" s="61">
        <f>Ordini!$K474+Ordini!$J474+Ordini!$L474</f>
        <v>75.048000000000002</v>
      </c>
      <c r="P474" s="61">
        <f>Ordini!$I474-Ordini!$O474</f>
        <v>48.132000000000005</v>
      </c>
      <c r="Q474" s="58" t="str">
        <f>IF(Ordini!$P474&lt;0,"DA EVITARE","OK")</f>
        <v>OK</v>
      </c>
      <c r="R474" s="58"/>
    </row>
    <row r="475" spans="1:18" s="62" customFormat="1" x14ac:dyDescent="0.25">
      <c r="A475" s="48">
        <v>46178</v>
      </c>
      <c r="B475" s="49" t="s">
        <v>109</v>
      </c>
      <c r="C475" s="49" t="s">
        <v>20</v>
      </c>
      <c r="D475" s="49" t="s">
        <v>666</v>
      </c>
      <c r="E475" s="49" t="s">
        <v>710</v>
      </c>
      <c r="F475" s="50">
        <v>2</v>
      </c>
      <c r="G475" s="52">
        <v>151.26</v>
      </c>
      <c r="H475" s="51">
        <v>0</v>
      </c>
      <c r="I475" s="52">
        <f>Ordini!$G475/(1+Ordini!$H475)</f>
        <v>151.26</v>
      </c>
      <c r="J475" s="52">
        <v>28.5</v>
      </c>
      <c r="K475" s="52">
        <v>92.72</v>
      </c>
      <c r="L475" s="52">
        <v>6.75</v>
      </c>
      <c r="M475" s="50" t="s">
        <v>34</v>
      </c>
      <c r="N475" s="50"/>
      <c r="O475" s="53">
        <f>Ordini!$K475+Ordini!$J475+Ordini!$L475</f>
        <v>127.97</v>
      </c>
      <c r="P475" s="53">
        <f>Ordini!$I475-Ordini!$O475</f>
        <v>23.289999999999992</v>
      </c>
      <c r="Q475" s="50" t="str">
        <f>IF(Ordini!$P475&lt;0,"DA EVITARE","OK")</f>
        <v>OK</v>
      </c>
      <c r="R475" s="50"/>
    </row>
    <row r="476" spans="1:18" s="55" customFormat="1" x14ac:dyDescent="0.25">
      <c r="A476" s="56">
        <v>46178</v>
      </c>
      <c r="B476" s="57" t="s">
        <v>110</v>
      </c>
      <c r="C476" s="57" t="s">
        <v>20</v>
      </c>
      <c r="D476" s="57" t="s">
        <v>667</v>
      </c>
      <c r="E476" s="57" t="s">
        <v>410</v>
      </c>
      <c r="F476" s="58">
        <v>1</v>
      </c>
      <c r="G476" s="60">
        <v>123.18</v>
      </c>
      <c r="H476" s="59">
        <v>0</v>
      </c>
      <c r="I476" s="60">
        <f>Ordini!$G476/(1+Ordini!$H476)</f>
        <v>123.18</v>
      </c>
      <c r="J476" s="60">
        <v>0</v>
      </c>
      <c r="K476" s="60">
        <v>64.8</v>
      </c>
      <c r="L476" s="60">
        <v>10.247999999999999</v>
      </c>
      <c r="M476" s="58" t="s">
        <v>34</v>
      </c>
      <c r="N476" s="58"/>
      <c r="O476" s="61">
        <f>Ordini!$K476+Ordini!$J476+Ordini!$L476</f>
        <v>75.048000000000002</v>
      </c>
      <c r="P476" s="61">
        <f>Ordini!$I476-Ordini!$O476</f>
        <v>48.132000000000005</v>
      </c>
      <c r="Q476" s="58" t="str">
        <f>IF(Ordini!$P476&lt;0,"DA EVITARE","OK")</f>
        <v>OK</v>
      </c>
      <c r="R476" s="58"/>
    </row>
    <row r="477" spans="1:18" s="62" customFormat="1" x14ac:dyDescent="0.25">
      <c r="A477" s="48">
        <v>46178</v>
      </c>
      <c r="B477" s="49" t="s">
        <v>110</v>
      </c>
      <c r="C477" s="49" t="s">
        <v>20</v>
      </c>
      <c r="D477" s="49" t="s">
        <v>668</v>
      </c>
      <c r="E477" s="49" t="s">
        <v>410</v>
      </c>
      <c r="F477" s="50">
        <v>1</v>
      </c>
      <c r="G477" s="52">
        <v>123.18</v>
      </c>
      <c r="H477" s="51">
        <v>0</v>
      </c>
      <c r="I477" s="52">
        <f>Ordini!$G477/(1+Ordini!$H477)</f>
        <v>123.18</v>
      </c>
      <c r="J477" s="52">
        <v>0</v>
      </c>
      <c r="K477" s="52">
        <v>64.8</v>
      </c>
      <c r="L477" s="52">
        <v>10.247999999999999</v>
      </c>
      <c r="M477" s="50" t="s">
        <v>34</v>
      </c>
      <c r="N477" s="50"/>
      <c r="O477" s="53">
        <f>Ordini!$K477+Ordini!$J477+Ordini!$L477</f>
        <v>75.048000000000002</v>
      </c>
      <c r="P477" s="53">
        <f>Ordini!$I477-Ordini!$O477</f>
        <v>48.132000000000005</v>
      </c>
      <c r="Q477" s="50" t="str">
        <f>IF(Ordini!$P477&lt;0,"DA EVITARE","OK")</f>
        <v>OK</v>
      </c>
      <c r="R477" s="50"/>
    </row>
    <row r="478" spans="1:18" s="55" customFormat="1" x14ac:dyDescent="0.25">
      <c r="A478" s="56">
        <v>46178</v>
      </c>
      <c r="B478" s="57" t="s">
        <v>110</v>
      </c>
      <c r="C478" s="57" t="s">
        <v>20</v>
      </c>
      <c r="D478" s="57" t="s">
        <v>669</v>
      </c>
      <c r="E478" s="57" t="s">
        <v>410</v>
      </c>
      <c r="F478" s="58">
        <v>1</v>
      </c>
      <c r="G478" s="60">
        <v>123.18</v>
      </c>
      <c r="H478" s="59">
        <v>0</v>
      </c>
      <c r="I478" s="60">
        <f>Ordini!$G478/(1+Ordini!$H478)</f>
        <v>123.18</v>
      </c>
      <c r="J478" s="60">
        <v>0</v>
      </c>
      <c r="K478" s="60">
        <v>64.8</v>
      </c>
      <c r="L478" s="60">
        <v>10.247999999999999</v>
      </c>
      <c r="M478" s="58" t="s">
        <v>34</v>
      </c>
      <c r="N478" s="58"/>
      <c r="O478" s="61">
        <f>Ordini!$K478+Ordini!$J478+Ordini!$L478</f>
        <v>75.048000000000002</v>
      </c>
      <c r="P478" s="61">
        <f>Ordini!$I478-Ordini!$O478</f>
        <v>48.132000000000005</v>
      </c>
      <c r="Q478" s="58" t="str">
        <f>IF(Ordini!$P478&lt;0,"DA EVITARE","OK")</f>
        <v>OK</v>
      </c>
      <c r="R478" s="58"/>
    </row>
    <row r="479" spans="1:18" s="62" customFormat="1" x14ac:dyDescent="0.25">
      <c r="A479" s="48">
        <v>46179</v>
      </c>
      <c r="B479" s="49" t="s">
        <v>363</v>
      </c>
      <c r="C479" s="49" t="s">
        <v>20</v>
      </c>
      <c r="D479" s="49" t="s">
        <v>726</v>
      </c>
      <c r="E479" s="49" t="s">
        <v>381</v>
      </c>
      <c r="F479" s="50">
        <v>2</v>
      </c>
      <c r="G479" s="52">
        <v>18.760000000000002</v>
      </c>
      <c r="H479" s="51">
        <v>0</v>
      </c>
      <c r="I479" s="52">
        <f>Ordini!$G479/(1+Ordini!$H479)</f>
        <v>18.760000000000002</v>
      </c>
      <c r="J479" s="52">
        <v>2.81</v>
      </c>
      <c r="K479" s="52">
        <v>4.5384000000000002</v>
      </c>
      <c r="L479" s="52">
        <v>4.3600000000000003</v>
      </c>
      <c r="M479" s="50" t="s">
        <v>34</v>
      </c>
      <c r="N479" s="50"/>
      <c r="O479" s="53">
        <f>Ordini!$K479+Ordini!$J479+Ordini!$L479</f>
        <v>11.708400000000001</v>
      </c>
      <c r="P479" s="53">
        <f>Ordini!$I479-Ordini!$O479</f>
        <v>7.0516000000000005</v>
      </c>
      <c r="Q479" s="50" t="str">
        <f>IF(Ordini!$P479&lt;0,"DA EVITARE","OK")</f>
        <v>OK</v>
      </c>
      <c r="R479" s="50"/>
    </row>
    <row r="480" spans="1:18" s="55" customFormat="1" x14ac:dyDescent="0.25">
      <c r="A480" s="56">
        <v>46179</v>
      </c>
      <c r="B480" s="57" t="s">
        <v>110</v>
      </c>
      <c r="C480" s="57" t="s">
        <v>20</v>
      </c>
      <c r="D480" s="57" t="s">
        <v>670</v>
      </c>
      <c r="E480" s="57" t="s">
        <v>410</v>
      </c>
      <c r="F480" s="58">
        <v>1</v>
      </c>
      <c r="G480" s="60">
        <v>123.18</v>
      </c>
      <c r="H480" s="59">
        <v>0</v>
      </c>
      <c r="I480" s="60">
        <f>Ordini!$G480/(1+Ordini!$H480)</f>
        <v>123.18</v>
      </c>
      <c r="J480" s="60">
        <v>0</v>
      </c>
      <c r="K480" s="60">
        <v>64.8</v>
      </c>
      <c r="L480" s="60">
        <v>10.247999999999999</v>
      </c>
      <c r="M480" s="58" t="s">
        <v>34</v>
      </c>
      <c r="N480" s="58"/>
      <c r="O480" s="61">
        <f>Ordini!$K480+Ordini!$J480+Ordini!$L480</f>
        <v>75.048000000000002</v>
      </c>
      <c r="P480" s="61">
        <f>Ordini!$I480-Ordini!$O480</f>
        <v>48.132000000000005</v>
      </c>
      <c r="Q480" s="58" t="str">
        <f>IF(Ordini!$P480&lt;0,"DA EVITARE","OK")</f>
        <v>OK</v>
      </c>
      <c r="R480" s="58"/>
    </row>
    <row r="481" spans="1:18" s="62" customFormat="1" x14ac:dyDescent="0.25">
      <c r="A481" s="48">
        <v>46179</v>
      </c>
      <c r="B481" s="49" t="s">
        <v>110</v>
      </c>
      <c r="C481" s="49" t="s">
        <v>20</v>
      </c>
      <c r="D481" s="49" t="s">
        <v>671</v>
      </c>
      <c r="E481" s="49" t="s">
        <v>410</v>
      </c>
      <c r="F481" s="50">
        <v>1</v>
      </c>
      <c r="G481" s="52">
        <v>123.18</v>
      </c>
      <c r="H481" s="51">
        <v>0</v>
      </c>
      <c r="I481" s="52">
        <f>Ordini!$G481/(1+Ordini!$H481)</f>
        <v>123.18</v>
      </c>
      <c r="J481" s="52">
        <v>0</v>
      </c>
      <c r="K481" s="52">
        <v>64.8</v>
      </c>
      <c r="L481" s="52">
        <v>10.247999999999999</v>
      </c>
      <c r="M481" s="50" t="s">
        <v>34</v>
      </c>
      <c r="N481" s="50"/>
      <c r="O481" s="53">
        <f>Ordini!$K481+Ordini!$J481+Ordini!$L481</f>
        <v>75.048000000000002</v>
      </c>
      <c r="P481" s="53">
        <f>Ordini!$I481-Ordini!$O481</f>
        <v>48.132000000000005</v>
      </c>
      <c r="Q481" s="50" t="str">
        <f>IF(Ordini!$P481&lt;0,"DA EVITARE","OK")</f>
        <v>OK</v>
      </c>
      <c r="R481" s="50"/>
    </row>
    <row r="482" spans="1:18" s="55" customFormat="1" x14ac:dyDescent="0.25">
      <c r="A482" s="56">
        <v>46179</v>
      </c>
      <c r="B482" s="57" t="s">
        <v>109</v>
      </c>
      <c r="C482" s="57" t="s">
        <v>20</v>
      </c>
      <c r="D482" s="57" t="s">
        <v>672</v>
      </c>
      <c r="E482" s="57" t="s">
        <v>347</v>
      </c>
      <c r="F482" s="58">
        <v>1</v>
      </c>
      <c r="G482" s="60">
        <v>14.9</v>
      </c>
      <c r="H482" s="59">
        <v>0</v>
      </c>
      <c r="I482" s="60">
        <f>Ordini!$G482/(1+Ordini!$H482)</f>
        <v>14.9</v>
      </c>
      <c r="J482" s="60">
        <v>1.51</v>
      </c>
      <c r="K482" s="60">
        <v>6</v>
      </c>
      <c r="L482" s="60">
        <v>4.7699999999999996</v>
      </c>
      <c r="M482" s="58" t="s">
        <v>34</v>
      </c>
      <c r="N482" s="58"/>
      <c r="O482" s="61">
        <f>Ordini!$K482+Ordini!$J482+Ordini!$L482</f>
        <v>12.28</v>
      </c>
      <c r="P482" s="61">
        <f>Ordini!$I482-Ordini!$O482</f>
        <v>2.620000000000001</v>
      </c>
      <c r="Q482" s="58" t="str">
        <f>IF(Ordini!$P482&lt;0,"DA EVITARE","OK")</f>
        <v>OK</v>
      </c>
      <c r="R482" s="58"/>
    </row>
    <row r="483" spans="1:18" s="62" customFormat="1" x14ac:dyDescent="0.25">
      <c r="A483" s="48">
        <v>46179</v>
      </c>
      <c r="B483" s="49" t="s">
        <v>109</v>
      </c>
      <c r="C483" s="49" t="s">
        <v>20</v>
      </c>
      <c r="D483" s="49" t="s">
        <v>673</v>
      </c>
      <c r="E483" s="49" t="s">
        <v>414</v>
      </c>
      <c r="F483" s="50">
        <v>1</v>
      </c>
      <c r="G483" s="52">
        <v>21.99</v>
      </c>
      <c r="H483" s="51">
        <v>0</v>
      </c>
      <c r="I483" s="52">
        <f>Ordini!$G483/(1+Ordini!$H483)</f>
        <v>21.99</v>
      </c>
      <c r="J483" s="52">
        <v>4.16</v>
      </c>
      <c r="K483" s="52">
        <v>8.24</v>
      </c>
      <c r="L483" s="52">
        <v>4.8499999999999996</v>
      </c>
      <c r="M483" s="50" t="s">
        <v>34</v>
      </c>
      <c r="N483" s="50"/>
      <c r="O483" s="53">
        <f>Ordini!$K483+Ordini!$J483+Ordini!$L483</f>
        <v>17.25</v>
      </c>
      <c r="P483" s="53">
        <f>Ordini!$I483-Ordini!$O483</f>
        <v>4.7399999999999984</v>
      </c>
      <c r="Q483" s="50" t="str">
        <f>IF(Ordini!$P483&lt;0,"DA EVITARE","OK")</f>
        <v>OK</v>
      </c>
      <c r="R483" s="50"/>
    </row>
    <row r="484" spans="1:18" s="55" customFormat="1" x14ac:dyDescent="0.25">
      <c r="A484" s="56">
        <v>46179</v>
      </c>
      <c r="B484" s="57" t="s">
        <v>110</v>
      </c>
      <c r="C484" s="57" t="s">
        <v>20</v>
      </c>
      <c r="D484" s="57" t="s">
        <v>674</v>
      </c>
      <c r="E484" s="57" t="s">
        <v>410</v>
      </c>
      <c r="F484" s="58">
        <v>1</v>
      </c>
      <c r="G484" s="60">
        <v>123.18</v>
      </c>
      <c r="H484" s="59">
        <v>0</v>
      </c>
      <c r="I484" s="60">
        <f>Ordini!$G484/(1+Ordini!$H484)</f>
        <v>123.18</v>
      </c>
      <c r="J484" s="60">
        <v>0</v>
      </c>
      <c r="K484" s="60">
        <v>64.8</v>
      </c>
      <c r="L484" s="60">
        <v>10.247999999999999</v>
      </c>
      <c r="M484" s="58" t="s">
        <v>34</v>
      </c>
      <c r="N484" s="58"/>
      <c r="O484" s="61">
        <f>Ordini!$K484+Ordini!$J484+Ordini!$L484</f>
        <v>75.048000000000002</v>
      </c>
      <c r="P484" s="61">
        <f>Ordini!$I484-Ordini!$O484</f>
        <v>48.132000000000005</v>
      </c>
      <c r="Q484" s="58" t="str">
        <f>IF(Ordini!$P484&lt;0,"DA EVITARE","OK")</f>
        <v>OK</v>
      </c>
      <c r="R484" s="58"/>
    </row>
    <row r="485" spans="1:18" s="62" customFormat="1" x14ac:dyDescent="0.25">
      <c r="A485" s="48">
        <v>46179</v>
      </c>
      <c r="B485" s="49" t="s">
        <v>110</v>
      </c>
      <c r="C485" s="49" t="s">
        <v>20</v>
      </c>
      <c r="D485" s="49" t="s">
        <v>675</v>
      </c>
      <c r="E485" s="49" t="s">
        <v>410</v>
      </c>
      <c r="F485" s="50">
        <v>1</v>
      </c>
      <c r="G485" s="52">
        <v>123.18</v>
      </c>
      <c r="H485" s="51">
        <v>0</v>
      </c>
      <c r="I485" s="52">
        <f>Ordini!$G485/(1+Ordini!$H485)</f>
        <v>123.18</v>
      </c>
      <c r="J485" s="52">
        <v>0</v>
      </c>
      <c r="K485" s="52">
        <v>64.8</v>
      </c>
      <c r="L485" s="52">
        <v>10.247999999999999</v>
      </c>
      <c r="M485" s="50" t="s">
        <v>34</v>
      </c>
      <c r="N485" s="50"/>
      <c r="O485" s="53">
        <f>Ordini!$K485+Ordini!$J485+Ordini!$L485</f>
        <v>75.048000000000002</v>
      </c>
      <c r="P485" s="53">
        <f>Ordini!$I485-Ordini!$O485</f>
        <v>48.132000000000005</v>
      </c>
      <c r="Q485" s="50" t="str">
        <f>IF(Ordini!$P485&lt;0,"DA EVITARE","OK")</f>
        <v>OK</v>
      </c>
      <c r="R485" s="50"/>
    </row>
    <row r="486" spans="1:18" s="55" customFormat="1" x14ac:dyDescent="0.25">
      <c r="A486" s="56">
        <v>46179</v>
      </c>
      <c r="B486" s="57" t="s">
        <v>110</v>
      </c>
      <c r="C486" s="57" t="s">
        <v>20</v>
      </c>
      <c r="D486" s="57" t="s">
        <v>676</v>
      </c>
      <c r="E486" s="57" t="s">
        <v>510</v>
      </c>
      <c r="F486" s="58">
        <v>1</v>
      </c>
      <c r="G486" s="60">
        <v>12.07</v>
      </c>
      <c r="H486" s="59">
        <v>0</v>
      </c>
      <c r="I486" s="60">
        <f>Ordini!$G486/(1+Ordini!$H486)</f>
        <v>12.07</v>
      </c>
      <c r="J486" s="60">
        <v>0</v>
      </c>
      <c r="K486" s="60">
        <v>5.8559999999999999</v>
      </c>
      <c r="L486" s="60">
        <v>4.3600000000000003</v>
      </c>
      <c r="M486" s="58" t="s">
        <v>34</v>
      </c>
      <c r="N486" s="58"/>
      <c r="O486" s="61">
        <f>Ordini!$K486+Ordini!$J486+Ordini!$L486</f>
        <v>10.216000000000001</v>
      </c>
      <c r="P486" s="61">
        <f>Ordini!$I486-Ordini!$O486</f>
        <v>1.8539999999999992</v>
      </c>
      <c r="Q486" s="58" t="str">
        <f>IF(Ordini!$P486&lt;0,"DA EVITARE","OK")</f>
        <v>OK</v>
      </c>
      <c r="R486" s="58"/>
    </row>
    <row r="487" spans="1:18" s="62" customFormat="1" x14ac:dyDescent="0.25">
      <c r="A487" s="48">
        <v>46179</v>
      </c>
      <c r="B487" s="49" t="s">
        <v>110</v>
      </c>
      <c r="C487" s="49" t="s">
        <v>20</v>
      </c>
      <c r="D487" s="49" t="s">
        <v>677</v>
      </c>
      <c r="E487" s="49" t="s">
        <v>414</v>
      </c>
      <c r="F487" s="50">
        <v>1</v>
      </c>
      <c r="G487" s="52">
        <v>18.52</v>
      </c>
      <c r="H487" s="51">
        <v>0</v>
      </c>
      <c r="I487" s="52">
        <f>Ordini!$G487/(1+Ordini!$H487)</f>
        <v>18.52</v>
      </c>
      <c r="J487" s="52">
        <v>0</v>
      </c>
      <c r="K487" s="52">
        <v>8.24</v>
      </c>
      <c r="L487" s="52">
        <v>4.8499999999999996</v>
      </c>
      <c r="M487" s="50" t="s">
        <v>34</v>
      </c>
      <c r="N487" s="50"/>
      <c r="O487" s="53">
        <f>Ordini!$K487+Ordini!$J487+Ordini!$L487</f>
        <v>13.09</v>
      </c>
      <c r="P487" s="53">
        <f>Ordini!$I487-Ordini!$O487</f>
        <v>5.43</v>
      </c>
      <c r="Q487" s="50" t="str">
        <f>IF(Ordini!$P487&lt;0,"DA EVITARE","OK")</f>
        <v>OK</v>
      </c>
      <c r="R487" s="50"/>
    </row>
    <row r="488" spans="1:18" s="55" customFormat="1" x14ac:dyDescent="0.25">
      <c r="A488" s="56">
        <v>46180</v>
      </c>
      <c r="B488" s="57" t="s">
        <v>109</v>
      </c>
      <c r="C488" s="57" t="s">
        <v>20</v>
      </c>
      <c r="D488" s="57" t="s">
        <v>678</v>
      </c>
      <c r="E488" s="57" t="s">
        <v>711</v>
      </c>
      <c r="F488" s="58">
        <v>1</v>
      </c>
      <c r="G488" s="60">
        <v>60</v>
      </c>
      <c r="H488" s="59">
        <v>0</v>
      </c>
      <c r="I488" s="60">
        <f>Ordini!$G488/(1+Ordini!$H488)</f>
        <v>60</v>
      </c>
      <c r="J488" s="60">
        <v>11.31</v>
      </c>
      <c r="K488" s="60">
        <v>35.502000000000002</v>
      </c>
      <c r="L488" s="60">
        <v>4.7699999999999996</v>
      </c>
      <c r="M488" s="58" t="s">
        <v>34</v>
      </c>
      <c r="N488" s="58"/>
      <c r="O488" s="61">
        <f>Ordini!$K488+Ordini!$J488+Ordini!$L488</f>
        <v>51.582000000000008</v>
      </c>
      <c r="P488" s="61">
        <f>Ordini!$I488-Ordini!$O488</f>
        <v>8.4179999999999922</v>
      </c>
      <c r="Q488" s="58" t="str">
        <f>IF(Ordini!$P488&lt;0,"DA EVITARE","OK")</f>
        <v>OK</v>
      </c>
      <c r="R488" s="58"/>
    </row>
    <row r="489" spans="1:18" s="62" customFormat="1" x14ac:dyDescent="0.25">
      <c r="A489" s="48">
        <v>46180</v>
      </c>
      <c r="B489" s="49" t="s">
        <v>109</v>
      </c>
      <c r="C489" s="49" t="s">
        <v>20</v>
      </c>
      <c r="D489" s="49" t="s">
        <v>679</v>
      </c>
      <c r="E489" s="49" t="s">
        <v>414</v>
      </c>
      <c r="F489" s="50">
        <v>1</v>
      </c>
      <c r="G489" s="52">
        <v>21.99</v>
      </c>
      <c r="H489" s="51">
        <v>0</v>
      </c>
      <c r="I489" s="52">
        <f>Ordini!$G489/(1+Ordini!$H489)</f>
        <v>21.99</v>
      </c>
      <c r="J489" s="52">
        <v>4.16</v>
      </c>
      <c r="K489" s="52">
        <v>8.24</v>
      </c>
      <c r="L489" s="52">
        <v>4.8499999999999996</v>
      </c>
      <c r="M489" s="50" t="s">
        <v>34</v>
      </c>
      <c r="N489" s="50"/>
      <c r="O489" s="53">
        <f>Ordini!$K489+Ordini!$J489+Ordini!$L489</f>
        <v>17.25</v>
      </c>
      <c r="P489" s="53">
        <f>Ordini!$I489-Ordini!$O489</f>
        <v>4.7399999999999984</v>
      </c>
      <c r="Q489" s="50" t="str">
        <f>IF(Ordini!$P489&lt;0,"DA EVITARE","OK")</f>
        <v>OK</v>
      </c>
      <c r="R489" s="50"/>
    </row>
    <row r="490" spans="1:18" s="55" customFormat="1" x14ac:dyDescent="0.25">
      <c r="A490" s="56">
        <v>46181</v>
      </c>
      <c r="B490" s="57" t="s">
        <v>110</v>
      </c>
      <c r="C490" s="57" t="s">
        <v>20</v>
      </c>
      <c r="D490" s="57" t="s">
        <v>680</v>
      </c>
      <c r="E490" s="57" t="s">
        <v>410</v>
      </c>
      <c r="F490" s="58">
        <v>1</v>
      </c>
      <c r="G490" s="60">
        <v>123.18</v>
      </c>
      <c r="H490" s="59">
        <v>0</v>
      </c>
      <c r="I490" s="60">
        <f>Ordini!$G490/(1+Ordini!$H490)</f>
        <v>123.18</v>
      </c>
      <c r="J490" s="60">
        <v>0</v>
      </c>
      <c r="K490" s="60">
        <v>64.8</v>
      </c>
      <c r="L490" s="60">
        <v>10.247999999999999</v>
      </c>
      <c r="M490" s="58" t="s">
        <v>34</v>
      </c>
      <c r="N490" s="58"/>
      <c r="O490" s="61">
        <f>Ordini!$K490+Ordini!$J490+Ordini!$L490</f>
        <v>75.048000000000002</v>
      </c>
      <c r="P490" s="61">
        <f>Ordini!$I490-Ordini!$O490</f>
        <v>48.132000000000005</v>
      </c>
      <c r="Q490" s="58" t="str">
        <f>IF(Ordini!$P490&lt;0,"DA EVITARE","OK")</f>
        <v>OK</v>
      </c>
      <c r="R490" s="58"/>
    </row>
    <row r="491" spans="1:18" s="62" customFormat="1" x14ac:dyDescent="0.25">
      <c r="A491" s="48">
        <v>46181</v>
      </c>
      <c r="B491" s="49" t="s">
        <v>110</v>
      </c>
      <c r="C491" s="49" t="s">
        <v>20</v>
      </c>
      <c r="D491" s="49" t="s">
        <v>681</v>
      </c>
      <c r="E491" s="49" t="s">
        <v>410</v>
      </c>
      <c r="F491" s="50">
        <v>1</v>
      </c>
      <c r="G491" s="52">
        <v>117.64</v>
      </c>
      <c r="H491" s="51">
        <v>0</v>
      </c>
      <c r="I491" s="52">
        <f>Ordini!$G491/(1+Ordini!$H491)</f>
        <v>117.64</v>
      </c>
      <c r="J491" s="52">
        <v>0</v>
      </c>
      <c r="K491" s="52">
        <v>64.8</v>
      </c>
      <c r="L491" s="52">
        <v>10.247999999999999</v>
      </c>
      <c r="M491" s="50" t="s">
        <v>34</v>
      </c>
      <c r="N491" s="50"/>
      <c r="O491" s="53">
        <f>Ordini!$K491+Ordini!$J491+Ordini!$L491</f>
        <v>75.048000000000002</v>
      </c>
      <c r="P491" s="53">
        <f>Ordini!$I491-Ordini!$O491</f>
        <v>42.591999999999999</v>
      </c>
      <c r="Q491" s="50" t="str">
        <f>IF(Ordini!$P491&lt;0,"DA EVITARE","OK")</f>
        <v>OK</v>
      </c>
      <c r="R491" s="50"/>
    </row>
    <row r="492" spans="1:18" s="55" customFormat="1" x14ac:dyDescent="0.25">
      <c r="A492" s="56">
        <v>46181</v>
      </c>
      <c r="B492" s="57" t="s">
        <v>109</v>
      </c>
      <c r="C492" s="57" t="s">
        <v>20</v>
      </c>
      <c r="D492" s="57" t="s">
        <v>682</v>
      </c>
      <c r="E492" s="57" t="s">
        <v>341</v>
      </c>
      <c r="F492" s="58">
        <v>1</v>
      </c>
      <c r="G492" s="60">
        <v>26</v>
      </c>
      <c r="H492" s="59">
        <v>0</v>
      </c>
      <c r="I492" s="60">
        <f>Ordini!$G492/(1+Ordini!$H492)</f>
        <v>26</v>
      </c>
      <c r="J492" s="60">
        <v>4.91</v>
      </c>
      <c r="K492" s="60">
        <v>15.385</v>
      </c>
      <c r="L492" s="60">
        <v>4.7699999999999996</v>
      </c>
      <c r="M492" s="58" t="s">
        <v>34</v>
      </c>
      <c r="N492" s="58"/>
      <c r="O492" s="61">
        <f>Ordini!$K492+Ordini!$J492+Ordini!$L492</f>
        <v>25.065000000000001</v>
      </c>
      <c r="P492" s="61">
        <f>Ordini!$I492-Ordini!$O492</f>
        <v>0.93499999999999872</v>
      </c>
      <c r="Q492" s="58" t="str">
        <f>IF(Ordini!$P492&lt;0,"DA EVITARE","OK")</f>
        <v>OK</v>
      </c>
      <c r="R492" s="58"/>
    </row>
    <row r="493" spans="1:18" s="62" customFormat="1" x14ac:dyDescent="0.25">
      <c r="A493" s="48">
        <v>46181</v>
      </c>
      <c r="B493" s="49" t="s">
        <v>109</v>
      </c>
      <c r="C493" s="49" t="s">
        <v>20</v>
      </c>
      <c r="D493" s="49" t="s">
        <v>683</v>
      </c>
      <c r="E493" s="49" t="s">
        <v>359</v>
      </c>
      <c r="F493" s="50">
        <v>1</v>
      </c>
      <c r="G493" s="52">
        <v>25.03</v>
      </c>
      <c r="H493" s="51">
        <v>0</v>
      </c>
      <c r="I493" s="52">
        <f>Ordini!$G493/(1+Ordini!$H493)</f>
        <v>25.03</v>
      </c>
      <c r="J493" s="52">
        <v>4.72</v>
      </c>
      <c r="K493" s="52">
        <v>11.211799999999998</v>
      </c>
      <c r="L493" s="52">
        <v>4.3600000000000003</v>
      </c>
      <c r="M493" s="50" t="s">
        <v>34</v>
      </c>
      <c r="N493" s="50"/>
      <c r="O493" s="53">
        <f>Ordini!$K493+Ordini!$J493+Ordini!$L493</f>
        <v>20.291799999999999</v>
      </c>
      <c r="P493" s="53">
        <f>Ordini!$I493-Ordini!$O493</f>
        <v>4.7382000000000026</v>
      </c>
      <c r="Q493" s="50" t="str">
        <f>IF(Ordini!$P493&lt;0,"DA EVITARE","OK")</f>
        <v>OK</v>
      </c>
      <c r="R493" s="50"/>
    </row>
    <row r="494" spans="1:18" s="55" customFormat="1" x14ac:dyDescent="0.25">
      <c r="A494" s="56">
        <v>46181</v>
      </c>
      <c r="B494" s="57" t="s">
        <v>109</v>
      </c>
      <c r="C494" s="57" t="s">
        <v>20</v>
      </c>
      <c r="D494" s="57" t="s">
        <v>684</v>
      </c>
      <c r="E494" s="57" t="s">
        <v>710</v>
      </c>
      <c r="F494" s="58">
        <v>1</v>
      </c>
      <c r="G494" s="60">
        <v>75.63</v>
      </c>
      <c r="H494" s="59">
        <v>0</v>
      </c>
      <c r="I494" s="60">
        <f>Ordini!$G494/(1+Ordini!$H494)</f>
        <v>75.63</v>
      </c>
      <c r="J494" s="60">
        <v>14.24</v>
      </c>
      <c r="K494" s="60">
        <v>46.36</v>
      </c>
      <c r="L494" s="60">
        <v>4.8499999999999996</v>
      </c>
      <c r="M494" s="58" t="s">
        <v>34</v>
      </c>
      <c r="N494" s="58"/>
      <c r="O494" s="61">
        <f>Ordini!$K494+Ordini!$J494+Ordini!$L494</f>
        <v>65.45</v>
      </c>
      <c r="P494" s="61">
        <f>Ordini!$I494-Ordini!$O494</f>
        <v>10.179999999999993</v>
      </c>
      <c r="Q494" s="58" t="str">
        <f>IF(Ordini!$P494&lt;0,"DA EVITARE","OK")</f>
        <v>OK</v>
      </c>
      <c r="R494" s="58"/>
    </row>
    <row r="495" spans="1:18" s="62" customFormat="1" x14ac:dyDescent="0.25">
      <c r="A495" s="48">
        <v>46181</v>
      </c>
      <c r="B495" s="49" t="s">
        <v>109</v>
      </c>
      <c r="C495" s="49" t="s">
        <v>20</v>
      </c>
      <c r="D495" s="49" t="s">
        <v>685</v>
      </c>
      <c r="E495" s="49" t="s">
        <v>712</v>
      </c>
      <c r="F495" s="50">
        <v>1</v>
      </c>
      <c r="G495" s="52">
        <v>19.5</v>
      </c>
      <c r="H495" s="51">
        <v>0</v>
      </c>
      <c r="I495" s="52">
        <f>Ordini!$G495/(1+Ordini!$H495)</f>
        <v>19.5</v>
      </c>
      <c r="J495" s="52">
        <v>1.96</v>
      </c>
      <c r="K495" s="52">
        <v>8.5766000000000009</v>
      </c>
      <c r="L495" s="52">
        <v>4.7699999999999996</v>
      </c>
      <c r="M495" s="50" t="s">
        <v>34</v>
      </c>
      <c r="N495" s="50"/>
      <c r="O495" s="53">
        <f>Ordini!$K495+Ordini!$J495+Ordini!$L495</f>
        <v>15.3066</v>
      </c>
      <c r="P495" s="53">
        <f>Ordini!$I495-Ordini!$O495</f>
        <v>4.1934000000000005</v>
      </c>
      <c r="Q495" s="50" t="str">
        <f>IF(Ordini!$P495&lt;0,"DA EVITARE","OK")</f>
        <v>OK</v>
      </c>
      <c r="R495" s="50"/>
    </row>
    <row r="496" spans="1:18" s="55" customFormat="1" x14ac:dyDescent="0.25">
      <c r="A496" s="56">
        <v>46182</v>
      </c>
      <c r="B496" s="57" t="s">
        <v>111</v>
      </c>
      <c r="C496" s="57" t="s">
        <v>20</v>
      </c>
      <c r="D496" s="57" t="s">
        <v>721</v>
      </c>
      <c r="E496" s="57" t="s">
        <v>44</v>
      </c>
      <c r="F496" s="58">
        <v>1</v>
      </c>
      <c r="G496" s="60">
        <v>43.73</v>
      </c>
      <c r="H496" s="59">
        <v>0</v>
      </c>
      <c r="I496" s="60">
        <f>Ordini!$G496/(1+Ordini!$H496)</f>
        <v>43.73</v>
      </c>
      <c r="J496" s="60">
        <v>4.21</v>
      </c>
      <c r="K496" s="60">
        <v>20.970000000000002</v>
      </c>
      <c r="L496" s="60">
        <v>4.8499999999999996</v>
      </c>
      <c r="M496" s="58" t="s">
        <v>22</v>
      </c>
      <c r="N496" s="58"/>
      <c r="O496" s="61">
        <f>Ordini!$K496+Ordini!$J496+Ordini!$L496</f>
        <v>30.03</v>
      </c>
      <c r="P496" s="61">
        <f>Ordini!$I496-Ordini!$O496</f>
        <v>13.699999999999996</v>
      </c>
      <c r="Q496" s="58" t="str">
        <f>IF(Ordini!$P496&lt;0,"DA EVITARE","OK")</f>
        <v>OK</v>
      </c>
      <c r="R496" s="58"/>
    </row>
    <row r="497" spans="1:18" s="62" customFormat="1" x14ac:dyDescent="0.25">
      <c r="A497" s="48">
        <v>46182</v>
      </c>
      <c r="B497" s="49" t="s">
        <v>111</v>
      </c>
      <c r="C497" s="49" t="s">
        <v>20</v>
      </c>
      <c r="D497" s="49" t="s">
        <v>722</v>
      </c>
      <c r="E497" s="49" t="s">
        <v>414</v>
      </c>
      <c r="F497" s="50">
        <v>1</v>
      </c>
      <c r="G497" s="52">
        <v>20.66</v>
      </c>
      <c r="H497" s="51">
        <v>0</v>
      </c>
      <c r="I497" s="52">
        <f>Ordini!$G497/(1+Ordini!$H497)</f>
        <v>20.66</v>
      </c>
      <c r="J497" s="52">
        <v>3.31</v>
      </c>
      <c r="K497" s="52">
        <v>8.24</v>
      </c>
      <c r="L497" s="52">
        <v>4.8499999999999996</v>
      </c>
      <c r="M497" s="50" t="s">
        <v>22</v>
      </c>
      <c r="N497" s="50"/>
      <c r="O497" s="53">
        <f>Ordini!$K497+Ordini!$J497+Ordini!$L497</f>
        <v>16.399999999999999</v>
      </c>
      <c r="P497" s="53">
        <f>Ordini!$I497-Ordini!$O497</f>
        <v>4.2600000000000016</v>
      </c>
      <c r="Q497" s="50" t="str">
        <f>IF(Ordini!$P497&lt;0,"DA EVITARE","OK")</f>
        <v>OK</v>
      </c>
      <c r="R497" s="50"/>
    </row>
    <row r="498" spans="1:18" s="55" customFormat="1" x14ac:dyDescent="0.25">
      <c r="A498" s="56">
        <v>46182</v>
      </c>
      <c r="B498" s="57" t="s">
        <v>109</v>
      </c>
      <c r="C498" s="57" t="s">
        <v>20</v>
      </c>
      <c r="D498" s="57" t="s">
        <v>686</v>
      </c>
      <c r="E498" s="57" t="s">
        <v>505</v>
      </c>
      <c r="F498" s="58">
        <v>1</v>
      </c>
      <c r="G498" s="60">
        <v>13.51</v>
      </c>
      <c r="H498" s="59">
        <v>0</v>
      </c>
      <c r="I498" s="60">
        <f>Ordini!$G498/(1+Ordini!$H498)</f>
        <v>13.51</v>
      </c>
      <c r="J498" s="60">
        <v>2.54</v>
      </c>
      <c r="K498" s="60">
        <v>2.4500000000000002</v>
      </c>
      <c r="L498" s="60">
        <v>4.3600000000000003</v>
      </c>
      <c r="M498" s="58" t="s">
        <v>34</v>
      </c>
      <c r="N498" s="58"/>
      <c r="O498" s="61">
        <f>Ordini!$K498+Ordini!$J498+Ordini!$L498</f>
        <v>9.3500000000000014</v>
      </c>
      <c r="P498" s="61">
        <f>Ordini!$I498-Ordini!$O498</f>
        <v>4.1599999999999984</v>
      </c>
      <c r="Q498" s="58" t="str">
        <f>IF(Ordini!$P498&lt;0,"DA EVITARE","OK")</f>
        <v>OK</v>
      </c>
      <c r="R498" s="58"/>
    </row>
    <row r="499" spans="1:18" s="62" customFormat="1" x14ac:dyDescent="0.25">
      <c r="A499" s="48">
        <v>46182</v>
      </c>
      <c r="B499" s="49" t="s">
        <v>110</v>
      </c>
      <c r="C499" s="49" t="s">
        <v>20</v>
      </c>
      <c r="D499" s="49" t="s">
        <v>687</v>
      </c>
      <c r="E499" s="49" t="s">
        <v>72</v>
      </c>
      <c r="F499" s="50">
        <v>1</v>
      </c>
      <c r="G499" s="52">
        <v>20.350000000000001</v>
      </c>
      <c r="H499" s="51">
        <v>0</v>
      </c>
      <c r="I499" s="52">
        <f>Ordini!$G499/(1+Ordini!$H499)</f>
        <v>20.350000000000001</v>
      </c>
      <c r="J499" s="52">
        <v>0</v>
      </c>
      <c r="K499" s="52">
        <v>6.18</v>
      </c>
      <c r="L499" s="52">
        <v>4.7699999999999996</v>
      </c>
      <c r="M499" s="50" t="s">
        <v>34</v>
      </c>
      <c r="N499" s="50"/>
      <c r="O499" s="53">
        <f>Ordini!$K499+Ordini!$J499+Ordini!$L499</f>
        <v>10.95</v>
      </c>
      <c r="P499" s="53">
        <f>Ordini!$I499-Ordini!$O499</f>
        <v>9.4000000000000021</v>
      </c>
      <c r="Q499" s="50" t="str">
        <f>IF(Ordini!$P499&lt;0,"DA EVITARE","OK")</f>
        <v>OK</v>
      </c>
      <c r="R499" s="50"/>
    </row>
    <row r="500" spans="1:18" s="55" customFormat="1" x14ac:dyDescent="0.25">
      <c r="A500" s="56">
        <v>46182</v>
      </c>
      <c r="B500" s="57" t="s">
        <v>109</v>
      </c>
      <c r="C500" s="57" t="s">
        <v>20</v>
      </c>
      <c r="D500" s="57" t="s">
        <v>688</v>
      </c>
      <c r="E500" s="57" t="s">
        <v>415</v>
      </c>
      <c r="F500" s="58">
        <v>1</v>
      </c>
      <c r="G500" s="60">
        <v>39.99</v>
      </c>
      <c r="H500" s="59">
        <v>0</v>
      </c>
      <c r="I500" s="60">
        <f>Ordini!$G500/(1+Ordini!$H500)</f>
        <v>39.99</v>
      </c>
      <c r="J500" s="60">
        <v>7.53</v>
      </c>
      <c r="K500" s="60">
        <v>20.85</v>
      </c>
      <c r="L500" s="60">
        <v>5.87</v>
      </c>
      <c r="M500" s="58" t="s">
        <v>34</v>
      </c>
      <c r="N500" s="58"/>
      <c r="O500" s="61">
        <f>Ordini!$K500+Ordini!$J500+Ordini!$L500</f>
        <v>34.25</v>
      </c>
      <c r="P500" s="61">
        <f>Ordini!$I500-Ordini!$O500</f>
        <v>5.740000000000002</v>
      </c>
      <c r="Q500" s="58" t="str">
        <f>IF(Ordini!$P500&lt;0,"DA EVITARE","OK")</f>
        <v>OK</v>
      </c>
      <c r="R500" s="58"/>
    </row>
    <row r="501" spans="1:18" s="62" customFormat="1" x14ac:dyDescent="0.25">
      <c r="A501" s="48">
        <v>46182</v>
      </c>
      <c r="B501" s="49" t="s">
        <v>109</v>
      </c>
      <c r="C501" s="49" t="s">
        <v>20</v>
      </c>
      <c r="D501" s="49" t="s">
        <v>689</v>
      </c>
      <c r="E501" s="49" t="s">
        <v>415</v>
      </c>
      <c r="F501" s="50">
        <v>1</v>
      </c>
      <c r="G501" s="52">
        <v>39.99</v>
      </c>
      <c r="H501" s="51">
        <v>0</v>
      </c>
      <c r="I501" s="52">
        <f>Ordini!$G501/(1+Ordini!$H501)</f>
        <v>39.99</v>
      </c>
      <c r="J501" s="52">
        <v>7.53</v>
      </c>
      <c r="K501" s="52">
        <v>20.85</v>
      </c>
      <c r="L501" s="52">
        <v>5.87</v>
      </c>
      <c r="M501" s="50" t="s">
        <v>34</v>
      </c>
      <c r="N501" s="50"/>
      <c r="O501" s="53">
        <f>Ordini!$K501+Ordini!$J501+Ordini!$L501</f>
        <v>34.25</v>
      </c>
      <c r="P501" s="53">
        <f>Ordini!$I501-Ordini!$O501</f>
        <v>5.740000000000002</v>
      </c>
      <c r="Q501" s="50" t="str">
        <f>IF(Ordini!$P501&lt;0,"DA EVITARE","OK")</f>
        <v>OK</v>
      </c>
      <c r="R501" s="50"/>
    </row>
    <row r="502" spans="1:18" s="55" customFormat="1" x14ac:dyDescent="0.25">
      <c r="A502" s="56">
        <v>46182</v>
      </c>
      <c r="B502" s="57" t="s">
        <v>110</v>
      </c>
      <c r="C502" s="57" t="s">
        <v>20</v>
      </c>
      <c r="D502" s="57" t="s">
        <v>690</v>
      </c>
      <c r="E502" s="57" t="s">
        <v>410</v>
      </c>
      <c r="F502" s="58">
        <v>1</v>
      </c>
      <c r="G502" s="60">
        <v>123.18</v>
      </c>
      <c r="H502" s="59">
        <v>0</v>
      </c>
      <c r="I502" s="60">
        <f>Ordini!$G502/(1+Ordini!$H502)</f>
        <v>123.18</v>
      </c>
      <c r="J502" s="60">
        <v>0</v>
      </c>
      <c r="K502" s="60">
        <v>64.8</v>
      </c>
      <c r="L502" s="60">
        <v>10.247999999999999</v>
      </c>
      <c r="M502" s="58" t="s">
        <v>34</v>
      </c>
      <c r="N502" s="58"/>
      <c r="O502" s="61">
        <f>Ordini!$K502+Ordini!$J502+Ordini!$L502</f>
        <v>75.048000000000002</v>
      </c>
      <c r="P502" s="61">
        <f>Ordini!$I502-Ordini!$O502</f>
        <v>48.132000000000005</v>
      </c>
      <c r="Q502" s="58" t="str">
        <f>IF(Ordini!$P502&lt;0,"DA EVITARE","OK")</f>
        <v>OK</v>
      </c>
      <c r="R502" s="58"/>
    </row>
    <row r="503" spans="1:18" s="62" customFormat="1" x14ac:dyDescent="0.25">
      <c r="A503" s="48">
        <v>46182</v>
      </c>
      <c r="B503" s="49" t="s">
        <v>110</v>
      </c>
      <c r="C503" s="49" t="s">
        <v>20</v>
      </c>
      <c r="D503" s="49" t="s">
        <v>691</v>
      </c>
      <c r="E503" s="49" t="s">
        <v>410</v>
      </c>
      <c r="F503" s="50">
        <v>1</v>
      </c>
      <c r="G503" s="52">
        <v>123.18</v>
      </c>
      <c r="H503" s="51">
        <v>0</v>
      </c>
      <c r="I503" s="52">
        <f>Ordini!$G503/(1+Ordini!$H503)</f>
        <v>123.18</v>
      </c>
      <c r="J503" s="52">
        <v>0</v>
      </c>
      <c r="K503" s="52">
        <v>64.8</v>
      </c>
      <c r="L503" s="52">
        <v>10.247999999999999</v>
      </c>
      <c r="M503" s="50" t="s">
        <v>34</v>
      </c>
      <c r="N503" s="50"/>
      <c r="O503" s="53">
        <f>Ordini!$K503+Ordini!$J503+Ordini!$L503</f>
        <v>75.048000000000002</v>
      </c>
      <c r="P503" s="53">
        <f>Ordini!$I503-Ordini!$O503</f>
        <v>48.132000000000005</v>
      </c>
      <c r="Q503" s="50" t="str">
        <f>IF(Ordini!$P503&lt;0,"DA EVITARE","OK")</f>
        <v>OK</v>
      </c>
      <c r="R503" s="50"/>
    </row>
    <row r="504" spans="1:18" s="55" customFormat="1" x14ac:dyDescent="0.25">
      <c r="A504" s="56">
        <v>46183</v>
      </c>
      <c r="B504" s="57" t="s">
        <v>111</v>
      </c>
      <c r="C504" s="57" t="s">
        <v>20</v>
      </c>
      <c r="D504" s="57" t="s">
        <v>725</v>
      </c>
      <c r="E504" s="57" t="s">
        <v>77</v>
      </c>
      <c r="F504" s="58">
        <v>1</v>
      </c>
      <c r="G504" s="60">
        <v>56.99</v>
      </c>
      <c r="H504" s="59">
        <v>0</v>
      </c>
      <c r="I504" s="60">
        <f>Ordini!$G504/(1+Ordini!$H504)</f>
        <v>56.99</v>
      </c>
      <c r="J504" s="60">
        <v>5.39</v>
      </c>
      <c r="K504" s="60">
        <v>26.82</v>
      </c>
      <c r="L504" s="60">
        <v>5.87</v>
      </c>
      <c r="M504" s="58" t="s">
        <v>22</v>
      </c>
      <c r="N504" s="58"/>
      <c r="O504" s="61">
        <f>Ordini!$K504+Ordini!$J504+Ordini!$L504</f>
        <v>38.08</v>
      </c>
      <c r="P504" s="61">
        <f>Ordini!$I504-Ordini!$O504</f>
        <v>18.910000000000004</v>
      </c>
      <c r="Q504" s="58" t="str">
        <f>IF(Ordini!$P504&lt;0,"DA EVITARE","OK")</f>
        <v>OK</v>
      </c>
      <c r="R504" s="58"/>
    </row>
    <row r="505" spans="1:18" s="62" customFormat="1" x14ac:dyDescent="0.25">
      <c r="A505" s="48">
        <v>46183</v>
      </c>
      <c r="B505" s="49" t="s">
        <v>111</v>
      </c>
      <c r="C505" s="49" t="s">
        <v>20</v>
      </c>
      <c r="D505" s="49" t="s">
        <v>723</v>
      </c>
      <c r="E505" s="49" t="s">
        <v>77</v>
      </c>
      <c r="F505" s="50">
        <v>1</v>
      </c>
      <c r="G505" s="52">
        <v>56.99</v>
      </c>
      <c r="H505" s="51">
        <v>0</v>
      </c>
      <c r="I505" s="52">
        <f>Ordini!$G505/(1+Ordini!$H505)</f>
        <v>56.99</v>
      </c>
      <c r="J505" s="52">
        <v>5.39</v>
      </c>
      <c r="K505" s="52">
        <v>26.82</v>
      </c>
      <c r="L505" s="52">
        <v>5.87</v>
      </c>
      <c r="M505" s="50" t="s">
        <v>22</v>
      </c>
      <c r="N505" s="50"/>
      <c r="O505" s="53">
        <f>Ordini!$K505+Ordini!$J505+Ordini!$L505</f>
        <v>38.08</v>
      </c>
      <c r="P505" s="53">
        <f>Ordini!$I505-Ordini!$O505</f>
        <v>18.910000000000004</v>
      </c>
      <c r="Q505" s="50" t="str">
        <f>IF(Ordini!$P505&lt;0,"DA EVITARE","OK")</f>
        <v>OK</v>
      </c>
      <c r="R505" s="50"/>
    </row>
    <row r="506" spans="1:18" s="55" customFormat="1" x14ac:dyDescent="0.25">
      <c r="A506" s="56">
        <v>46183</v>
      </c>
      <c r="B506" s="57" t="s">
        <v>111</v>
      </c>
      <c r="C506" s="57" t="s">
        <v>20</v>
      </c>
      <c r="D506" s="57" t="s">
        <v>724</v>
      </c>
      <c r="E506" s="57" t="s">
        <v>415</v>
      </c>
      <c r="F506" s="58">
        <v>1</v>
      </c>
      <c r="G506" s="60">
        <v>43.7</v>
      </c>
      <c r="H506" s="59">
        <v>0</v>
      </c>
      <c r="I506" s="60">
        <f>Ordini!$G506/(1+Ordini!$H506)</f>
        <v>43.7</v>
      </c>
      <c r="J506" s="60">
        <v>4.21</v>
      </c>
      <c r="K506" s="60">
        <v>20.85</v>
      </c>
      <c r="L506" s="60">
        <v>5.87</v>
      </c>
      <c r="M506" s="58" t="s">
        <v>22</v>
      </c>
      <c r="N506" s="58"/>
      <c r="O506" s="61">
        <f>Ordini!$K506+Ordini!$J506+Ordini!$L506</f>
        <v>30.930000000000003</v>
      </c>
      <c r="P506" s="61">
        <f>Ordini!$I506-Ordini!$O506</f>
        <v>12.77</v>
      </c>
      <c r="Q506" s="58" t="str">
        <f>IF(Ordini!$P506&lt;0,"DA EVITARE","OK")</f>
        <v>OK</v>
      </c>
      <c r="R506" s="58"/>
    </row>
    <row r="507" spans="1:18" s="62" customFormat="1" x14ac:dyDescent="0.25">
      <c r="A507" s="48">
        <v>46183</v>
      </c>
      <c r="B507" s="49" t="s">
        <v>109</v>
      </c>
      <c r="C507" s="49" t="s">
        <v>20</v>
      </c>
      <c r="D507" s="49" t="s">
        <v>692</v>
      </c>
      <c r="E507" s="49" t="s">
        <v>60</v>
      </c>
      <c r="F507" s="50">
        <v>1</v>
      </c>
      <c r="G507" s="52">
        <v>87.99</v>
      </c>
      <c r="H507" s="51">
        <v>0</v>
      </c>
      <c r="I507" s="52">
        <f>Ordini!$G507/(1+Ordini!$H507)</f>
        <v>87.99</v>
      </c>
      <c r="J507" s="52">
        <v>14.38</v>
      </c>
      <c r="K507" s="52">
        <v>39.76</v>
      </c>
      <c r="L507" s="52">
        <v>8.01</v>
      </c>
      <c r="M507" s="50" t="s">
        <v>34</v>
      </c>
      <c r="N507" s="50"/>
      <c r="O507" s="53">
        <f>Ordini!$K507+Ordini!$J507+Ordini!$L507</f>
        <v>62.15</v>
      </c>
      <c r="P507" s="53">
        <f>Ordini!$I507-Ordini!$O507</f>
        <v>25.839999999999996</v>
      </c>
      <c r="Q507" s="50" t="str">
        <f>IF(Ordini!$P507&lt;0,"DA EVITARE","OK")</f>
        <v>OK</v>
      </c>
      <c r="R507" s="50"/>
    </row>
    <row r="508" spans="1:18" s="55" customFormat="1" x14ac:dyDescent="0.25">
      <c r="A508" s="56">
        <v>46183</v>
      </c>
      <c r="B508" s="57" t="s">
        <v>110</v>
      </c>
      <c r="C508" s="57" t="s">
        <v>20</v>
      </c>
      <c r="D508" s="57" t="s">
        <v>693</v>
      </c>
      <c r="E508" s="57" t="s">
        <v>410</v>
      </c>
      <c r="F508" s="58">
        <v>1</v>
      </c>
      <c r="G508" s="60">
        <v>119.93</v>
      </c>
      <c r="H508" s="59">
        <v>0</v>
      </c>
      <c r="I508" s="60">
        <f>Ordini!$G508/(1+Ordini!$H508)</f>
        <v>119.93</v>
      </c>
      <c r="J508" s="60">
        <v>0</v>
      </c>
      <c r="K508" s="60">
        <v>64.8</v>
      </c>
      <c r="L508" s="60">
        <v>10.247999999999999</v>
      </c>
      <c r="M508" s="58" t="s">
        <v>34</v>
      </c>
      <c r="N508" s="58"/>
      <c r="O508" s="61">
        <f>Ordini!$K508+Ordini!$J508+Ordini!$L508</f>
        <v>75.048000000000002</v>
      </c>
      <c r="P508" s="61">
        <f>Ordini!$I508-Ordini!$O508</f>
        <v>44.882000000000005</v>
      </c>
      <c r="Q508" s="58" t="str">
        <f>IF(Ordini!$P508&lt;0,"DA EVITARE","OK")</f>
        <v>OK</v>
      </c>
      <c r="R508" s="58"/>
    </row>
    <row r="509" spans="1:18" s="62" customFormat="1" x14ac:dyDescent="0.25">
      <c r="A509" s="48">
        <v>46183</v>
      </c>
      <c r="B509" s="49" t="s">
        <v>110</v>
      </c>
      <c r="C509" s="49" t="s">
        <v>20</v>
      </c>
      <c r="D509" s="49" t="s">
        <v>694</v>
      </c>
      <c r="E509" s="49" t="s">
        <v>414</v>
      </c>
      <c r="F509" s="50">
        <v>1</v>
      </c>
      <c r="G509" s="52">
        <v>13.08</v>
      </c>
      <c r="H509" s="51">
        <v>0</v>
      </c>
      <c r="I509" s="52">
        <f>Ordini!$G509/(1+Ordini!$H509)</f>
        <v>13.08</v>
      </c>
      <c r="J509" s="52">
        <v>0</v>
      </c>
      <c r="K509" s="52">
        <v>8.24</v>
      </c>
      <c r="L509" s="52">
        <v>4.8499999999999996</v>
      </c>
      <c r="M509" s="50" t="s">
        <v>34</v>
      </c>
      <c r="N509" s="50"/>
      <c r="O509" s="53">
        <f>Ordini!$K509+Ordini!$J509+Ordini!$L509</f>
        <v>13.09</v>
      </c>
      <c r="P509" s="53">
        <f>Ordini!$I509-Ordini!$O509</f>
        <v>-9.9999999999997868E-3</v>
      </c>
      <c r="Q509" s="50" t="str">
        <f>IF(Ordini!$P509&lt;0,"DA EVITARE","OK")</f>
        <v>DA EVITARE</v>
      </c>
      <c r="R509" s="50"/>
    </row>
    <row r="510" spans="1:18" s="55" customFormat="1" x14ac:dyDescent="0.25">
      <c r="A510" s="56">
        <v>46183</v>
      </c>
      <c r="B510" s="57" t="s">
        <v>109</v>
      </c>
      <c r="C510" s="57" t="s">
        <v>20</v>
      </c>
      <c r="D510" s="57" t="s">
        <v>695</v>
      </c>
      <c r="E510" s="57" t="s">
        <v>415</v>
      </c>
      <c r="F510" s="58">
        <v>1</v>
      </c>
      <c r="G510" s="60">
        <v>39.99</v>
      </c>
      <c r="H510" s="59">
        <v>0</v>
      </c>
      <c r="I510" s="60">
        <f>Ordini!$G510/(1+Ordini!$H510)</f>
        <v>39.99</v>
      </c>
      <c r="J510" s="60">
        <v>7.54</v>
      </c>
      <c r="K510" s="60">
        <v>20.85</v>
      </c>
      <c r="L510" s="60">
        <v>5.87</v>
      </c>
      <c r="M510" s="58" t="s">
        <v>34</v>
      </c>
      <c r="N510" s="58"/>
      <c r="O510" s="61">
        <f>Ordini!$K510+Ordini!$J510+Ordini!$L510</f>
        <v>34.26</v>
      </c>
      <c r="P510" s="61">
        <f>Ordini!$I510-Ordini!$O510</f>
        <v>5.730000000000004</v>
      </c>
      <c r="Q510" s="58" t="str">
        <f>IF(Ordini!$P510&lt;0,"DA EVITARE","OK")</f>
        <v>OK</v>
      </c>
      <c r="R510" s="58"/>
    </row>
    <row r="511" spans="1:18" s="62" customFormat="1" x14ac:dyDescent="0.25">
      <c r="A511" s="48">
        <v>46183</v>
      </c>
      <c r="B511" s="49" t="s">
        <v>109</v>
      </c>
      <c r="C511" s="49" t="s">
        <v>20</v>
      </c>
      <c r="D511" s="49" t="s">
        <v>696</v>
      </c>
      <c r="E511" s="49" t="s">
        <v>710</v>
      </c>
      <c r="F511" s="50">
        <v>1</v>
      </c>
      <c r="G511" s="52">
        <v>75.63</v>
      </c>
      <c r="H511" s="51">
        <v>0</v>
      </c>
      <c r="I511" s="52">
        <f>Ordini!$G511/(1+Ordini!$H511)</f>
        <v>75.63</v>
      </c>
      <c r="J511" s="52">
        <v>14.26</v>
      </c>
      <c r="K511" s="52">
        <v>46.36</v>
      </c>
      <c r="L511" s="52">
        <v>4.8499999999999996</v>
      </c>
      <c r="M511" s="50" t="s">
        <v>34</v>
      </c>
      <c r="N511" s="50"/>
      <c r="O511" s="53">
        <f>Ordini!$K511+Ordini!$J511+Ordini!$L511</f>
        <v>65.47</v>
      </c>
      <c r="P511" s="53">
        <f>Ordini!$I511-Ordini!$O511</f>
        <v>10.159999999999997</v>
      </c>
      <c r="Q511" s="50" t="str">
        <f>IF(Ordini!$P511&lt;0,"DA EVITARE","OK")</f>
        <v>OK</v>
      </c>
      <c r="R511" s="50"/>
    </row>
    <row r="512" spans="1:18" s="55" customFormat="1" x14ac:dyDescent="0.25">
      <c r="A512" s="56">
        <v>46183</v>
      </c>
      <c r="B512" s="57" t="s">
        <v>109</v>
      </c>
      <c r="C512" s="57" t="s">
        <v>20</v>
      </c>
      <c r="D512" s="57" t="s">
        <v>697</v>
      </c>
      <c r="E512" s="57" t="s">
        <v>60</v>
      </c>
      <c r="F512" s="58">
        <v>1</v>
      </c>
      <c r="G512" s="60">
        <v>87.99</v>
      </c>
      <c r="H512" s="59">
        <v>0</v>
      </c>
      <c r="I512" s="60">
        <f>Ordini!$G512/(1+Ordini!$H512)</f>
        <v>87.99</v>
      </c>
      <c r="J512" s="60">
        <v>14.38</v>
      </c>
      <c r="K512" s="60">
        <v>39.76</v>
      </c>
      <c r="L512" s="60">
        <v>8.01</v>
      </c>
      <c r="M512" s="58" t="s">
        <v>22</v>
      </c>
      <c r="N512" s="58"/>
      <c r="O512" s="61">
        <f>Ordini!$K512+Ordini!$J512+Ordini!$L512</f>
        <v>62.15</v>
      </c>
      <c r="P512" s="61">
        <f>Ordini!$I512-Ordini!$O512</f>
        <v>25.839999999999996</v>
      </c>
      <c r="Q512" s="58" t="str">
        <f>IF(Ordini!$P512&lt;0,"DA EVITARE","OK")</f>
        <v>OK</v>
      </c>
      <c r="R512" s="58"/>
    </row>
    <row r="513" spans="1:18" s="62" customFormat="1" x14ac:dyDescent="0.25">
      <c r="A513" s="48">
        <v>46183</v>
      </c>
      <c r="B513" s="49" t="s">
        <v>110</v>
      </c>
      <c r="C513" s="49" t="s">
        <v>20</v>
      </c>
      <c r="D513" s="49" t="s">
        <v>698</v>
      </c>
      <c r="E513" s="49" t="s">
        <v>414</v>
      </c>
      <c r="F513" s="50">
        <v>1</v>
      </c>
      <c r="G513" s="52">
        <v>13.08</v>
      </c>
      <c r="H513" s="51">
        <v>0</v>
      </c>
      <c r="I513" s="52">
        <f>Ordini!$G513/(1+Ordini!$H513)</f>
        <v>13.08</v>
      </c>
      <c r="J513" s="52">
        <v>0</v>
      </c>
      <c r="K513" s="52">
        <v>8.24</v>
      </c>
      <c r="L513" s="52">
        <v>4.8499999999999996</v>
      </c>
      <c r="M513" s="50" t="s">
        <v>34</v>
      </c>
      <c r="N513" s="50"/>
      <c r="O513" s="53">
        <f>Ordini!$K513+Ordini!$J513+Ordini!$L513</f>
        <v>13.09</v>
      </c>
      <c r="P513" s="53">
        <f>Ordini!$I513-Ordini!$O513</f>
        <v>-9.9999999999997868E-3</v>
      </c>
      <c r="Q513" s="50" t="str">
        <f>IF(Ordini!$P513&lt;0,"DA EVITARE","OK")</f>
        <v>DA EVITARE</v>
      </c>
      <c r="R513" s="50"/>
    </row>
    <row r="514" spans="1:18" s="55" customFormat="1" x14ac:dyDescent="0.25">
      <c r="A514" s="56">
        <v>46183</v>
      </c>
      <c r="B514" s="57" t="s">
        <v>110</v>
      </c>
      <c r="C514" s="57" t="s">
        <v>20</v>
      </c>
      <c r="D514" s="57" t="s">
        <v>699</v>
      </c>
      <c r="E514" s="57" t="s">
        <v>347</v>
      </c>
      <c r="F514" s="58">
        <v>1</v>
      </c>
      <c r="G514" s="60">
        <v>12.98</v>
      </c>
      <c r="H514" s="59">
        <v>0</v>
      </c>
      <c r="I514" s="60">
        <f>Ordini!$G514/(1+Ordini!$H514)</f>
        <v>12.98</v>
      </c>
      <c r="J514" s="60">
        <v>0</v>
      </c>
      <c r="K514" s="60">
        <v>6</v>
      </c>
      <c r="L514" s="60">
        <v>4.7699999999999996</v>
      </c>
      <c r="M514" s="58" t="s">
        <v>34</v>
      </c>
      <c r="N514" s="58"/>
      <c r="O514" s="61">
        <f>Ordini!$K514+Ordini!$J514+Ordini!$L514</f>
        <v>10.77</v>
      </c>
      <c r="P514" s="61">
        <f>Ordini!$I514-Ordini!$O514</f>
        <v>2.2100000000000009</v>
      </c>
      <c r="Q514" s="58" t="str">
        <f>IF(Ordini!$P514&lt;0,"DA EVITARE","OK")</f>
        <v>OK</v>
      </c>
      <c r="R514" s="58"/>
    </row>
    <row r="515" spans="1:18" s="62" customFormat="1" x14ac:dyDescent="0.25">
      <c r="A515" s="48">
        <v>46183</v>
      </c>
      <c r="B515" s="49" t="s">
        <v>363</v>
      </c>
      <c r="C515" s="49" t="s">
        <v>20</v>
      </c>
      <c r="D515" s="49" t="s">
        <v>727</v>
      </c>
      <c r="E515" s="49" t="s">
        <v>728</v>
      </c>
      <c r="F515" s="50">
        <v>2</v>
      </c>
      <c r="G515" s="52">
        <v>31.9</v>
      </c>
      <c r="H515" s="51">
        <v>0</v>
      </c>
      <c r="I515" s="52">
        <f>Ordini!$G515/(1+Ordini!$H515)</f>
        <v>31.9</v>
      </c>
      <c r="J515" s="52">
        <v>3.83</v>
      </c>
      <c r="K515" s="52">
        <v>11.3704</v>
      </c>
      <c r="L515" s="52">
        <v>4.3600000000000003</v>
      </c>
      <c r="M515" s="50" t="s">
        <v>34</v>
      </c>
      <c r="N515" s="50"/>
      <c r="O515" s="53">
        <f>Ordini!$K515+Ordini!$J515+Ordini!$L515</f>
        <v>19.560400000000001</v>
      </c>
      <c r="P515" s="53">
        <f>Ordini!$I515-Ordini!$O515</f>
        <v>12.339599999999997</v>
      </c>
      <c r="Q515" s="50" t="str">
        <f>IF(Ordini!$P515&lt;0,"DA EVITARE","OK")</f>
        <v>OK</v>
      </c>
      <c r="R515" s="50"/>
    </row>
    <row r="516" spans="1:18" s="55" customFormat="1" x14ac:dyDescent="0.25">
      <c r="A516" s="56">
        <v>46183</v>
      </c>
      <c r="B516" s="57" t="s">
        <v>363</v>
      </c>
      <c r="C516" s="57" t="s">
        <v>20</v>
      </c>
      <c r="D516" s="57" t="s">
        <v>729</v>
      </c>
      <c r="E516" s="57" t="s">
        <v>730</v>
      </c>
      <c r="F516" s="58">
        <v>1</v>
      </c>
      <c r="G516" s="60">
        <v>15.41</v>
      </c>
      <c r="H516" s="59">
        <v>0</v>
      </c>
      <c r="I516" s="60">
        <f>Ordini!$G516/(1+Ordini!$H516)</f>
        <v>15.41</v>
      </c>
      <c r="J516" s="60">
        <v>1.85</v>
      </c>
      <c r="K516" s="60">
        <v>5.5388000000000002</v>
      </c>
      <c r="L516" s="60">
        <v>4.3600000000000003</v>
      </c>
      <c r="M516" s="58" t="s">
        <v>34</v>
      </c>
      <c r="N516" s="58"/>
      <c r="O516" s="61">
        <f>Ordini!$K516+Ordini!$J516+Ordini!$L516</f>
        <v>11.748799999999999</v>
      </c>
      <c r="P516" s="61">
        <f>Ordini!$I516-Ordini!$O516</f>
        <v>3.6612000000000009</v>
      </c>
      <c r="Q516" s="58" t="str">
        <f>IF(Ordini!$P516&lt;0,"DA EVITARE","OK")</f>
        <v>OK</v>
      </c>
      <c r="R516" s="58"/>
    </row>
    <row r="517" spans="1:18" s="62" customFormat="1" x14ac:dyDescent="0.25">
      <c r="A517" s="48">
        <v>46184</v>
      </c>
      <c r="B517" s="49" t="s">
        <v>110</v>
      </c>
      <c r="C517" s="49" t="s">
        <v>20</v>
      </c>
      <c r="D517" s="49" t="s">
        <v>700</v>
      </c>
      <c r="E517" s="49" t="s">
        <v>50</v>
      </c>
      <c r="F517" s="50">
        <v>1</v>
      </c>
      <c r="G517" s="52">
        <v>15.6</v>
      </c>
      <c r="H517" s="51">
        <v>0</v>
      </c>
      <c r="I517" s="52">
        <f>Ordini!$G517/(1+Ordini!$H517)</f>
        <v>15.6</v>
      </c>
      <c r="J517" s="52">
        <v>0</v>
      </c>
      <c r="K517" s="52">
        <v>6.41</v>
      </c>
      <c r="L517" s="52">
        <v>4.7699999999999996</v>
      </c>
      <c r="M517" s="50" t="s">
        <v>34</v>
      </c>
      <c r="N517" s="50"/>
      <c r="O517" s="53">
        <f>Ordini!$K517+Ordini!$J517+Ordini!$L517</f>
        <v>11.18</v>
      </c>
      <c r="P517" s="53">
        <f>Ordini!$I517-Ordini!$O517</f>
        <v>4.42</v>
      </c>
      <c r="Q517" s="50" t="str">
        <f>IF(Ordini!$P517&lt;0,"DA EVITARE","OK")</f>
        <v>OK</v>
      </c>
      <c r="R517" s="50"/>
    </row>
    <row r="518" spans="1:18" s="55" customFormat="1" x14ac:dyDescent="0.25">
      <c r="A518" s="56">
        <v>46184</v>
      </c>
      <c r="B518" s="57" t="s">
        <v>110</v>
      </c>
      <c r="C518" s="57" t="s">
        <v>20</v>
      </c>
      <c r="D518" s="57" t="s">
        <v>701</v>
      </c>
      <c r="E518" s="57" t="s">
        <v>394</v>
      </c>
      <c r="F518" s="58">
        <v>1</v>
      </c>
      <c r="G518" s="60">
        <v>16.11</v>
      </c>
      <c r="H518" s="59">
        <v>0</v>
      </c>
      <c r="I518" s="60">
        <f>Ordini!$G518/(1+Ordini!$H518)</f>
        <v>16.11</v>
      </c>
      <c r="J518" s="60">
        <v>0</v>
      </c>
      <c r="K518" s="60">
        <v>10.918999999999999</v>
      </c>
      <c r="L518" s="60">
        <v>4.3600000000000003</v>
      </c>
      <c r="M518" s="58" t="s">
        <v>34</v>
      </c>
      <c r="N518" s="58"/>
      <c r="O518" s="61">
        <f>Ordini!$K518+Ordini!$J518+Ordini!$L518</f>
        <v>15.279</v>
      </c>
      <c r="P518" s="61">
        <f>Ordini!$I518-Ordini!$O518</f>
        <v>0.83099999999999952</v>
      </c>
      <c r="Q518" s="58" t="str">
        <f>IF(Ordini!$P518&lt;0,"DA EVITARE","OK")</f>
        <v>OK</v>
      </c>
      <c r="R518" s="58"/>
    </row>
    <row r="519" spans="1:18" s="62" customFormat="1" x14ac:dyDescent="0.25">
      <c r="A519" s="48">
        <v>46184</v>
      </c>
      <c r="B519" s="49" t="s">
        <v>109</v>
      </c>
      <c r="C519" s="49" t="s">
        <v>20</v>
      </c>
      <c r="D519" s="49" t="s">
        <v>702</v>
      </c>
      <c r="E519" s="49" t="s">
        <v>410</v>
      </c>
      <c r="F519" s="50">
        <v>1</v>
      </c>
      <c r="G519" s="52">
        <v>149.99</v>
      </c>
      <c r="H519" s="51">
        <v>0</v>
      </c>
      <c r="I519" s="52">
        <f>Ordini!$G519/(1+Ordini!$H519)</f>
        <v>149.99</v>
      </c>
      <c r="J519" s="52">
        <v>28.27</v>
      </c>
      <c r="K519" s="52">
        <v>64.8</v>
      </c>
      <c r="L519" s="52">
        <v>10.247999999999999</v>
      </c>
      <c r="M519" s="50" t="s">
        <v>34</v>
      </c>
      <c r="N519" s="50"/>
      <c r="O519" s="53">
        <f>Ordini!$K519+Ordini!$J519+Ordini!$L519</f>
        <v>103.318</v>
      </c>
      <c r="P519" s="53">
        <f>Ordini!$I519-Ordini!$O519</f>
        <v>46.672000000000011</v>
      </c>
      <c r="Q519" s="50" t="str">
        <f>IF(Ordini!$P519&lt;0,"DA EVITARE","OK")</f>
        <v>OK</v>
      </c>
      <c r="R519" s="50"/>
    </row>
    <row r="520" spans="1:18" s="55" customFormat="1" x14ac:dyDescent="0.25">
      <c r="A520" s="56">
        <v>46184</v>
      </c>
      <c r="B520" s="57" t="s">
        <v>109</v>
      </c>
      <c r="C520" s="57" t="s">
        <v>20</v>
      </c>
      <c r="D520" s="57" t="s">
        <v>703</v>
      </c>
      <c r="E520" s="57" t="s">
        <v>415</v>
      </c>
      <c r="F520" s="58">
        <v>1</v>
      </c>
      <c r="G520" s="60">
        <v>39.99</v>
      </c>
      <c r="H520" s="59">
        <v>0</v>
      </c>
      <c r="I520" s="60">
        <f>Ordini!$G520/(1+Ordini!$H520)</f>
        <v>39.99</v>
      </c>
      <c r="J520" s="60">
        <v>7.53</v>
      </c>
      <c r="K520" s="60">
        <v>20.85</v>
      </c>
      <c r="L520" s="60">
        <v>5.87</v>
      </c>
      <c r="M520" s="58" t="s">
        <v>34</v>
      </c>
      <c r="N520" s="58"/>
      <c r="O520" s="61">
        <f>Ordini!$K520+Ordini!$J520+Ordini!$L520</f>
        <v>34.25</v>
      </c>
      <c r="P520" s="61">
        <f>Ordini!$I520-Ordini!$O520</f>
        <v>5.740000000000002</v>
      </c>
      <c r="Q520" s="58" t="str">
        <f>IF(Ordini!$P520&lt;0,"DA EVITARE","OK")</f>
        <v>OK</v>
      </c>
      <c r="R520" s="58"/>
    </row>
    <row r="521" spans="1:18" s="62" customFormat="1" x14ac:dyDescent="0.25">
      <c r="A521" s="48">
        <v>46184</v>
      </c>
      <c r="B521" s="49" t="s">
        <v>109</v>
      </c>
      <c r="C521" s="49" t="s">
        <v>20</v>
      </c>
      <c r="D521" s="49" t="s">
        <v>704</v>
      </c>
      <c r="E521" s="49" t="s">
        <v>415</v>
      </c>
      <c r="F521" s="50">
        <v>1</v>
      </c>
      <c r="G521" s="52">
        <v>39.99</v>
      </c>
      <c r="H521" s="51">
        <v>0</v>
      </c>
      <c r="I521" s="52">
        <f>Ordini!$G521/(1+Ordini!$H521)</f>
        <v>39.99</v>
      </c>
      <c r="J521" s="52">
        <v>7.53</v>
      </c>
      <c r="K521" s="52">
        <v>20.85</v>
      </c>
      <c r="L521" s="52">
        <v>5.87</v>
      </c>
      <c r="M521" s="50" t="s">
        <v>34</v>
      </c>
      <c r="N521" s="50"/>
      <c r="O521" s="53">
        <f>Ordini!$K521+Ordini!$J521+Ordini!$L521</f>
        <v>34.25</v>
      </c>
      <c r="P521" s="53">
        <f>Ordini!$I521-Ordini!$O521</f>
        <v>5.740000000000002</v>
      </c>
      <c r="Q521" s="50" t="str">
        <f>IF(Ordini!$P521&lt;0,"DA EVITARE","OK")</f>
        <v>OK</v>
      </c>
      <c r="R521" s="50"/>
    </row>
    <row r="522" spans="1:18" s="55" customFormat="1" x14ac:dyDescent="0.25">
      <c r="A522" s="56">
        <v>46184</v>
      </c>
      <c r="B522" s="57" t="s">
        <v>110</v>
      </c>
      <c r="C522" s="57" t="s">
        <v>20</v>
      </c>
      <c r="D522" s="57" t="s">
        <v>701</v>
      </c>
      <c r="E522" s="57" t="s">
        <v>510</v>
      </c>
      <c r="F522" s="58">
        <v>1</v>
      </c>
      <c r="G522" s="60">
        <v>10.24</v>
      </c>
      <c r="H522" s="59">
        <v>0</v>
      </c>
      <c r="I522" s="60">
        <f>Ordini!$G522/(1+Ordini!$H522)</f>
        <v>10.24</v>
      </c>
      <c r="J522" s="60">
        <v>0</v>
      </c>
      <c r="K522" s="60">
        <v>5.8559999999999999</v>
      </c>
      <c r="L522" s="60">
        <v>4.3600000000000003</v>
      </c>
      <c r="M522" s="58" t="s">
        <v>34</v>
      </c>
      <c r="N522" s="58"/>
      <c r="O522" s="61">
        <f>Ordini!$K522+Ordini!$J522+Ordini!$L522</f>
        <v>10.216000000000001</v>
      </c>
      <c r="P522" s="61">
        <f>Ordini!$I522-Ordini!$O522</f>
        <v>2.3999999999999133E-2</v>
      </c>
      <c r="Q522" s="58" t="str">
        <f>IF(Ordini!$P522&lt;0,"DA EVITARE","OK")</f>
        <v>OK</v>
      </c>
      <c r="R522" s="58"/>
    </row>
    <row r="523" spans="1:18" s="62" customFormat="1" x14ac:dyDescent="0.25">
      <c r="A523" s="48">
        <v>46185</v>
      </c>
      <c r="B523" s="49" t="s">
        <v>109</v>
      </c>
      <c r="C523" s="49" t="s">
        <v>20</v>
      </c>
      <c r="D523" s="49" t="s">
        <v>705</v>
      </c>
      <c r="E523" s="49" t="s">
        <v>410</v>
      </c>
      <c r="F523" s="50">
        <v>1</v>
      </c>
      <c r="G523" s="52">
        <v>149.99</v>
      </c>
      <c r="H523" s="51">
        <v>0</v>
      </c>
      <c r="I523" s="52">
        <f>Ordini!$G523/(1+Ordini!$H523)</f>
        <v>149.99</v>
      </c>
      <c r="J523" s="52">
        <v>28.28</v>
      </c>
      <c r="K523" s="52">
        <v>64.8</v>
      </c>
      <c r="L523" s="52">
        <v>10.247999999999999</v>
      </c>
      <c r="M523" s="50" t="s">
        <v>34</v>
      </c>
      <c r="N523" s="50"/>
      <c r="O523" s="53">
        <f>Ordini!$K523+Ordini!$J523+Ordini!$L523</f>
        <v>103.328</v>
      </c>
      <c r="P523" s="53">
        <f>Ordini!$I523-Ordini!$O523</f>
        <v>46.662000000000006</v>
      </c>
      <c r="Q523" s="50" t="str">
        <f>IF(Ordini!$P523&lt;0,"DA EVITARE","OK")</f>
        <v>OK</v>
      </c>
      <c r="R523" s="50"/>
    </row>
    <row r="524" spans="1:18" s="55" customFormat="1" x14ac:dyDescent="0.25">
      <c r="A524" s="56">
        <v>46185</v>
      </c>
      <c r="B524" s="57" t="s">
        <v>109</v>
      </c>
      <c r="C524" s="57" t="s">
        <v>20</v>
      </c>
      <c r="D524" s="57" t="s">
        <v>706</v>
      </c>
      <c r="E524" s="57" t="s">
        <v>410</v>
      </c>
      <c r="F524" s="58">
        <v>1</v>
      </c>
      <c r="G524" s="60">
        <v>149.99</v>
      </c>
      <c r="H524" s="59">
        <v>0</v>
      </c>
      <c r="I524" s="60">
        <f>Ordini!$G524/(1+Ordini!$H524)</f>
        <v>149.99</v>
      </c>
      <c r="J524" s="60">
        <v>28.28</v>
      </c>
      <c r="K524" s="60">
        <v>64.8</v>
      </c>
      <c r="L524" s="60">
        <v>10.247999999999999</v>
      </c>
      <c r="M524" s="58" t="s">
        <v>34</v>
      </c>
      <c r="N524" s="58"/>
      <c r="O524" s="61">
        <f>Ordini!$K524+Ordini!$J524+Ordini!$L524</f>
        <v>103.328</v>
      </c>
      <c r="P524" s="61">
        <f>Ordini!$I524-Ordini!$O524</f>
        <v>46.662000000000006</v>
      </c>
      <c r="Q524" s="58" t="str">
        <f>IF(Ordini!$P524&lt;0,"DA EVITARE","OK")</f>
        <v>OK</v>
      </c>
      <c r="R524" s="58"/>
    </row>
    <row r="525" spans="1:18" s="62" customFormat="1" x14ac:dyDescent="0.25">
      <c r="A525" s="48">
        <v>46185</v>
      </c>
      <c r="B525" s="49" t="s">
        <v>363</v>
      </c>
      <c r="C525" s="49" t="s">
        <v>20</v>
      </c>
      <c r="D525" s="49" t="s">
        <v>731</v>
      </c>
      <c r="E525" s="49" t="s">
        <v>732</v>
      </c>
      <c r="F525" s="50">
        <v>1</v>
      </c>
      <c r="G525" s="52">
        <v>18.57</v>
      </c>
      <c r="H525" s="51">
        <v>0</v>
      </c>
      <c r="I525" s="52">
        <f>Ordini!$G525/(1+Ordini!$H525)</f>
        <v>18.57</v>
      </c>
      <c r="J525" s="52">
        <v>2.23</v>
      </c>
      <c r="K525" s="52" cm="1">
        <f t="array" ref="K525">IFERROR(
_xlfn.XLOOKUP(Ordini!E525,'Prodotti Magazzino'!$A$2:A10092,'Prodotti Magazzino'!$B$2:B10092),
_xlfn.XLOOKUP(Ordini!E525,'Prodotti drop'!$A$2:A10091,'Prodotti drop'!$B$2:B10091)
)*Ordini!F525</f>
        <v>7.8445999999999998</v>
      </c>
      <c r="L525" s="52" cm="1">
        <f t="array" ref="L525">_xlfn.LET(
_xlpm.stato,TRIM(Ordini!$M525),
_xlpm.sku,TRIM(Ordini!$E525),
_xlpm.paese,TRIM(Ordini!$C525),
_xlpm.andata,_xlfn.XLOOKUP(1,
    (TRIM(Logistica!$A$2:A10513)=_xlpm.sku)*
    (TRIM( Logistica!$B$2:B10513)=_xlpm.paese),
  Logistica!$C$2:C10513,
    0),
_xlpm.reso,_xlfn.XLOOKUP(1,
    (TRIM(Logistica!$A$2:A10513)=_xlpm.sku)*
    (TRIM(Logistica!$B$2:B10513)=_xlpm.paese),
    Logistica!$D$2:D10513,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25" s="50" t="s">
        <v>34</v>
      </c>
      <c r="N525" s="50"/>
      <c r="O525" s="53">
        <f>Ordini!$K525+Ordini!$J525+Ordini!$L525</f>
        <v>14.4346</v>
      </c>
      <c r="P525" s="53">
        <f>Ordini!$I525-Ordini!$O525</f>
        <v>4.1354000000000006</v>
      </c>
      <c r="Q525" s="50" t="str">
        <f>IF(Ordini!$P525&lt;0,"DA EVITARE","OK")</f>
        <v>OK</v>
      </c>
      <c r="R525" s="50"/>
    </row>
    <row r="526" spans="1:18" s="55" customFormat="1" x14ac:dyDescent="0.25">
      <c r="A526" s="56">
        <v>46186</v>
      </c>
      <c r="B526" s="57" t="s">
        <v>110</v>
      </c>
      <c r="C526" s="57" t="s">
        <v>20</v>
      </c>
      <c r="D526" s="57" t="s">
        <v>737</v>
      </c>
      <c r="E526" s="57" t="s">
        <v>50</v>
      </c>
      <c r="F526" s="58">
        <v>1</v>
      </c>
      <c r="G526" s="60">
        <v>15.6</v>
      </c>
      <c r="H526" s="59">
        <v>0</v>
      </c>
      <c r="I526" s="60">
        <f>Ordini!$G526/(1+Ordini!$H526)</f>
        <v>15.6</v>
      </c>
      <c r="J526" s="60">
        <v>0</v>
      </c>
      <c r="K526" s="60" cm="1">
        <f t="array" ref="K526">IFERROR(
_xlfn.XLOOKUP(Ordini!E526,'Prodotti Magazzino'!$A$2:A10093,'Prodotti Magazzino'!$B$2:B10093),
_xlfn.XLOOKUP(Ordini!E526,'Prodotti drop'!$A$2:A10092,'Prodotti drop'!$B$2:B10092)
)*Ordini!F526</f>
        <v>6.41</v>
      </c>
      <c r="L526" s="60" cm="1">
        <f t="array" ref="L526">_xlfn.LET(
_xlpm.stato,TRIM(Ordini!$M526),
_xlpm.sku,TRIM(Ordini!$E526),
_xlpm.paese,TRIM(Ordini!$C526),
_xlpm.andata,_xlfn.XLOOKUP(1,
    (TRIM(Logistica!$A$2:A10514)=_xlpm.sku)*
    (TRIM( Logistica!$B$2:B10514)=_xlpm.paese),
  Logistica!$C$2:C10514,
    0),
_xlpm.reso,_xlfn.XLOOKUP(1,
    (TRIM(Logistica!$A$2:A10514)=_xlpm.sku)*
    (TRIM(Logistica!$B$2:B10514)=_xlpm.paese),
    Logistica!$D$2:D10514,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26" s="58" t="s">
        <v>34</v>
      </c>
      <c r="N526" s="58"/>
      <c r="O526" s="61">
        <f>Ordini!$K526+Ordini!$J526+Ordini!$L526</f>
        <v>11.18</v>
      </c>
      <c r="P526" s="61">
        <f>Ordini!$I526-Ordini!$O526</f>
        <v>4.42</v>
      </c>
      <c r="Q526" s="58" t="str">
        <f>IF(Ordini!$P526&lt;0,"DA EVITARE","OK")</f>
        <v>OK</v>
      </c>
      <c r="R526" s="58"/>
    </row>
    <row r="527" spans="1:18" s="62" customFormat="1" x14ac:dyDescent="0.25">
      <c r="A527" s="48">
        <v>46186</v>
      </c>
      <c r="B527" s="49" t="s">
        <v>110</v>
      </c>
      <c r="C527" s="49" t="s">
        <v>20</v>
      </c>
      <c r="D527" s="49" t="s">
        <v>738</v>
      </c>
      <c r="E527" s="49" t="s">
        <v>50</v>
      </c>
      <c r="F527" s="50">
        <v>1</v>
      </c>
      <c r="G527" s="52">
        <v>15.6</v>
      </c>
      <c r="H527" s="51">
        <v>0</v>
      </c>
      <c r="I527" s="52">
        <f>Ordini!$G527/(1+Ordini!$H527)</f>
        <v>15.6</v>
      </c>
      <c r="J527" s="52">
        <v>0</v>
      </c>
      <c r="K527" s="52" cm="1">
        <f t="array" ref="K527">IFERROR(
_xlfn.XLOOKUP(Ordini!E527,'Prodotti Magazzino'!$A$2:A10094,'Prodotti Magazzino'!$B$2:B10094),
_xlfn.XLOOKUP(Ordini!E527,'Prodotti drop'!$A$2:A10093,'Prodotti drop'!$B$2:B10093)
)*Ordini!F527</f>
        <v>6.41</v>
      </c>
      <c r="L527" s="52" cm="1">
        <f t="array" ref="L527">_xlfn.LET(
_xlpm.stato,TRIM(Ordini!$M527),
_xlpm.sku,TRIM(Ordini!$E527),
_xlpm.paese,TRIM(Ordini!$C527),
_xlpm.andata,_xlfn.XLOOKUP(1,
    (TRIM(Logistica!$A$2:A10515)=_xlpm.sku)*
    (TRIM( Logistica!$B$2:B10515)=_xlpm.paese),
  Logistica!$C$2:C10515,
    0),
_xlpm.reso,_xlfn.XLOOKUP(1,
    (TRIM(Logistica!$A$2:A10515)=_xlpm.sku)*
    (TRIM(Logistica!$B$2:B10515)=_xlpm.paese),
    Logistica!$D$2:D10515,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27" s="50" t="s">
        <v>34</v>
      </c>
      <c r="N527" s="50"/>
      <c r="O527" s="53">
        <f>Ordini!$K527+Ordini!$J527+Ordini!$L527</f>
        <v>11.18</v>
      </c>
      <c r="P527" s="53">
        <f>Ordini!$I527-Ordini!$O527</f>
        <v>4.42</v>
      </c>
      <c r="Q527" s="50" t="str">
        <f>IF(Ordini!$P527&lt;0,"DA EVITARE","OK")</f>
        <v>OK</v>
      </c>
      <c r="R527" s="50"/>
    </row>
    <row r="528" spans="1:18" s="55" customFormat="1" x14ac:dyDescent="0.25">
      <c r="A528" s="56">
        <v>46186</v>
      </c>
      <c r="B528" s="57" t="s">
        <v>109</v>
      </c>
      <c r="C528" s="57" t="s">
        <v>20</v>
      </c>
      <c r="D528" s="57" t="s">
        <v>739</v>
      </c>
      <c r="E528" s="57" t="s">
        <v>60</v>
      </c>
      <c r="F528" s="58">
        <v>1</v>
      </c>
      <c r="G528" s="60">
        <v>87.99</v>
      </c>
      <c r="H528" s="59">
        <v>0</v>
      </c>
      <c r="I528" s="60">
        <f>Ordini!$G528/(1+Ordini!$H528)</f>
        <v>87.99</v>
      </c>
      <c r="J528" s="60">
        <v>14.38</v>
      </c>
      <c r="K528" s="60" cm="1">
        <f t="array" ref="K528">IFERROR(
_xlfn.XLOOKUP(Ordini!E528,'Prodotti Magazzino'!$A$2:A10095,'Prodotti Magazzino'!$B$2:B10095),
_xlfn.XLOOKUP(Ordini!E528,'Prodotti drop'!$A$2:A10094,'Prodotti drop'!$B$2:B10094)
)*Ordini!F528</f>
        <v>39.76</v>
      </c>
      <c r="L528" s="60" cm="1">
        <f t="array" ref="L528">_xlfn.LET(
_xlpm.stato,TRIM(Ordini!$M528),
_xlpm.sku,TRIM(Ordini!$E528),
_xlpm.paese,TRIM(Ordini!$C528),
_xlpm.andata,_xlfn.XLOOKUP(1,
    (TRIM(Logistica!$A$2:A10516)=_xlpm.sku)*
    (TRIM( Logistica!$B$2:B10516)=_xlpm.paese),
  Logistica!$C$2:C10516,
    0),
_xlpm.reso,_xlfn.XLOOKUP(1,
    (TRIM(Logistica!$A$2:A10516)=_xlpm.sku)*
    (TRIM(Logistica!$B$2:B10516)=_xlpm.paese),
    Logistica!$D$2:D10516,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28" s="58" t="s">
        <v>34</v>
      </c>
      <c r="N528" s="58"/>
      <c r="O528" s="61">
        <f>Ordini!$K528+Ordini!$J528+Ordini!$L528</f>
        <v>62.15</v>
      </c>
      <c r="P528" s="61">
        <f>Ordini!$I528-Ordini!$O528</f>
        <v>25.839999999999996</v>
      </c>
      <c r="Q528" s="58" t="str">
        <f>IF(Ordini!$P528&lt;0,"DA EVITARE","OK")</f>
        <v>OK</v>
      </c>
      <c r="R528" s="58"/>
    </row>
    <row r="529" spans="1:18" s="62" customFormat="1" x14ac:dyDescent="0.25">
      <c r="A529" s="48">
        <v>46186</v>
      </c>
      <c r="B529" s="49" t="s">
        <v>109</v>
      </c>
      <c r="C529" s="49" t="s">
        <v>20</v>
      </c>
      <c r="D529" s="49" t="s">
        <v>740</v>
      </c>
      <c r="E529" s="49" t="s">
        <v>505</v>
      </c>
      <c r="F529" s="50">
        <v>1</v>
      </c>
      <c r="G529" s="52">
        <v>13.51</v>
      </c>
      <c r="H529" s="51">
        <v>0</v>
      </c>
      <c r="I529" s="52">
        <f>Ordini!$G529/(1+Ordini!$H529)</f>
        <v>13.51</v>
      </c>
      <c r="J529" s="52">
        <v>2.56</v>
      </c>
      <c r="K529" s="52" cm="1">
        <f t="array" ref="K529">IFERROR(
_xlfn.XLOOKUP(Ordini!E529,'Prodotti Magazzino'!$A$2:A10096,'Prodotti Magazzino'!$B$2:B10096),
_xlfn.XLOOKUP(Ordini!E529,'Prodotti drop'!$A$2:A10095,'Prodotti drop'!$B$2:B10095)
)*Ordini!F529</f>
        <v>2.4500000000000002</v>
      </c>
      <c r="L529" s="52" cm="1">
        <f t="array" ref="L529">_xlfn.LET(
_xlpm.stato,TRIM(Ordini!$M529),
_xlpm.sku,TRIM(Ordini!$E529),
_xlpm.paese,TRIM(Ordini!$C529),
_xlpm.andata,_xlfn.XLOOKUP(1,
    (TRIM(Logistica!$A$2:A10517)=_xlpm.sku)*
    (TRIM( Logistica!$B$2:B10517)=_xlpm.paese),
  Logistica!$C$2:C10517,
    0),
_xlpm.reso,_xlfn.XLOOKUP(1,
    (TRIM(Logistica!$A$2:A10517)=_xlpm.sku)*
    (TRIM(Logistica!$B$2:B10517)=_xlpm.paese),
    Logistica!$D$2:D10517,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29" s="50" t="s">
        <v>34</v>
      </c>
      <c r="N529" s="50"/>
      <c r="O529" s="53">
        <f>Ordini!$K529+Ordini!$J529+Ordini!$L529</f>
        <v>9.370000000000001</v>
      </c>
      <c r="P529" s="53">
        <f>Ordini!$I529-Ordini!$O529</f>
        <v>4.1399999999999988</v>
      </c>
      <c r="Q529" s="50" t="str">
        <f>IF(Ordini!$P529&lt;0,"DA EVITARE","OK")</f>
        <v>OK</v>
      </c>
      <c r="R529" s="50"/>
    </row>
    <row r="530" spans="1:18" s="55" customFormat="1" x14ac:dyDescent="0.25">
      <c r="A530" s="56">
        <v>46186</v>
      </c>
      <c r="B530" s="57" t="s">
        <v>110</v>
      </c>
      <c r="C530" s="57" t="s">
        <v>20</v>
      </c>
      <c r="D530" s="57" t="s">
        <v>741</v>
      </c>
      <c r="E530" s="57" t="s">
        <v>50</v>
      </c>
      <c r="F530" s="58">
        <v>1</v>
      </c>
      <c r="G530" s="60">
        <v>15.6</v>
      </c>
      <c r="H530" s="59">
        <v>0</v>
      </c>
      <c r="I530" s="60">
        <f>Ordini!$G530/(1+Ordini!$H530)</f>
        <v>15.6</v>
      </c>
      <c r="J530" s="60">
        <v>0</v>
      </c>
      <c r="K530" s="60" cm="1">
        <f t="array" ref="K530">IFERROR(
_xlfn.XLOOKUP(Ordini!E530,'Prodotti Magazzino'!$A$2:A10097,'Prodotti Magazzino'!$B$2:B10097),
_xlfn.XLOOKUP(Ordini!E530,'Prodotti drop'!$A$2:A10096,'Prodotti drop'!$B$2:B10096)
)*Ordini!F530</f>
        <v>6.41</v>
      </c>
      <c r="L530" s="60" cm="1">
        <f t="array" ref="L530">_xlfn.LET(
_xlpm.stato,TRIM(Ordini!$M530),
_xlpm.sku,TRIM(Ordini!$E530),
_xlpm.paese,TRIM(Ordini!$C530),
_xlpm.andata,_xlfn.XLOOKUP(1,
    (TRIM(Logistica!$A$2:A10518)=_xlpm.sku)*
    (TRIM( Logistica!$B$2:B10518)=_xlpm.paese),
  Logistica!$C$2:C10518,
    0),
_xlpm.reso,_xlfn.XLOOKUP(1,
    (TRIM(Logistica!$A$2:A10518)=_xlpm.sku)*
    (TRIM(Logistica!$B$2:B10518)=_xlpm.paese),
    Logistica!$D$2:D10518,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30" s="58" t="s">
        <v>34</v>
      </c>
      <c r="N530" s="58"/>
      <c r="O530" s="61">
        <f>Ordini!$K530+Ordini!$J530+Ordini!$L530</f>
        <v>11.18</v>
      </c>
      <c r="P530" s="61">
        <f>Ordini!$I530-Ordini!$O530</f>
        <v>4.42</v>
      </c>
      <c r="Q530" s="58" t="str">
        <f>IF(Ordini!$P530&lt;0,"DA EVITARE","OK")</f>
        <v>OK</v>
      </c>
      <c r="R530" s="58"/>
    </row>
    <row r="531" spans="1:18" s="62" customFormat="1" x14ac:dyDescent="0.25">
      <c r="A531" s="48">
        <v>46186</v>
      </c>
      <c r="B531" s="49" t="s">
        <v>109</v>
      </c>
      <c r="C531" s="49" t="s">
        <v>20</v>
      </c>
      <c r="D531" s="49" t="s">
        <v>742</v>
      </c>
      <c r="E531" s="49" t="s">
        <v>505</v>
      </c>
      <c r="F531" s="50">
        <v>1</v>
      </c>
      <c r="G531" s="52">
        <v>13.51</v>
      </c>
      <c r="H531" s="51">
        <v>0</v>
      </c>
      <c r="I531" s="52">
        <f>Ordini!$G531/(1+Ordini!$H531)</f>
        <v>13.51</v>
      </c>
      <c r="J531" s="52">
        <v>2.56</v>
      </c>
      <c r="K531" s="52" cm="1">
        <f t="array" ref="K531">IFERROR(
_xlfn.XLOOKUP(Ordini!E531,'Prodotti Magazzino'!$A$2:A10098,'Prodotti Magazzino'!$B$2:B10098),
_xlfn.XLOOKUP(Ordini!E531,'Prodotti drop'!$A$2:A10097,'Prodotti drop'!$B$2:B10097)
)*Ordini!F531</f>
        <v>2.4500000000000002</v>
      </c>
      <c r="L531" s="52" cm="1">
        <f t="array" ref="L531">_xlfn.LET(
_xlpm.stato,TRIM(Ordini!$M531),
_xlpm.sku,TRIM(Ordini!$E531),
_xlpm.paese,TRIM(Ordini!$C531),
_xlpm.andata,_xlfn.XLOOKUP(1,
    (TRIM(Logistica!$A$2:A10519)=_xlpm.sku)*
    (TRIM( Logistica!$B$2:B10519)=_xlpm.paese),
  Logistica!$C$2:C10519,
    0),
_xlpm.reso,_xlfn.XLOOKUP(1,
    (TRIM(Logistica!$A$2:A10519)=_xlpm.sku)*
    (TRIM(Logistica!$B$2:B10519)=_xlpm.paese),
    Logistica!$D$2:D10519,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31" s="50" t="s">
        <v>34</v>
      </c>
      <c r="N531" s="50"/>
      <c r="O531" s="53">
        <f>Ordini!$K531+Ordini!$J531+Ordini!$L531</f>
        <v>9.370000000000001</v>
      </c>
      <c r="P531" s="53">
        <f>Ordini!$I531-Ordini!$O531</f>
        <v>4.1399999999999988</v>
      </c>
      <c r="Q531" s="50" t="str">
        <f>IF(Ordini!$P531&lt;0,"DA EVITARE","OK")</f>
        <v>OK</v>
      </c>
      <c r="R531" s="50"/>
    </row>
    <row r="532" spans="1:18" s="55" customFormat="1" x14ac:dyDescent="0.25">
      <c r="A532" s="56">
        <v>46186</v>
      </c>
      <c r="B532" s="57" t="s">
        <v>110</v>
      </c>
      <c r="C532" s="57" t="s">
        <v>20</v>
      </c>
      <c r="D532" s="57" t="s">
        <v>743</v>
      </c>
      <c r="E532" s="57" t="s">
        <v>50</v>
      </c>
      <c r="F532" s="58">
        <v>1</v>
      </c>
      <c r="G532" s="60">
        <v>15.73</v>
      </c>
      <c r="H532" s="59">
        <v>0</v>
      </c>
      <c r="I532" s="60">
        <f>Ordini!$G532/(1+Ordini!$H532)</f>
        <v>15.73</v>
      </c>
      <c r="J532" s="60">
        <v>0</v>
      </c>
      <c r="K532" s="60" cm="1">
        <f t="array" ref="K532">IFERROR(
_xlfn.XLOOKUP(Ordini!E532,'Prodotti Magazzino'!$A$2:A10099,'Prodotti Magazzino'!$B$2:B10099),
_xlfn.XLOOKUP(Ordini!E532,'Prodotti drop'!$A$2:A10098,'Prodotti drop'!$B$2:B10098)
)*Ordini!F532</f>
        <v>6.41</v>
      </c>
      <c r="L532" s="60" cm="1">
        <f t="array" ref="L532">_xlfn.LET(
_xlpm.stato,TRIM(Ordini!$M532),
_xlpm.sku,TRIM(Ordini!$E532),
_xlpm.paese,TRIM(Ordini!$C532),
_xlpm.andata,_xlfn.XLOOKUP(1,
    (TRIM(Logistica!$A$2:A10520)=_xlpm.sku)*
    (TRIM( Logistica!$B$2:B10520)=_xlpm.paese),
  Logistica!$C$2:C10520,
    0),
_xlpm.reso,_xlfn.XLOOKUP(1,
    (TRIM(Logistica!$A$2:A10520)=_xlpm.sku)*
    (TRIM(Logistica!$B$2:B10520)=_xlpm.paese),
    Logistica!$D$2:D10520,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32" s="58" t="s">
        <v>34</v>
      </c>
      <c r="N532" s="58"/>
      <c r="O532" s="61">
        <f>Ordini!$K532+Ordini!$J532+Ordini!$L532</f>
        <v>11.18</v>
      </c>
      <c r="P532" s="61">
        <f>Ordini!$I532-Ordini!$O532</f>
        <v>4.5500000000000007</v>
      </c>
      <c r="Q532" s="58" t="str">
        <f>IF(Ordini!$P532&lt;0,"DA EVITARE","OK")</f>
        <v>OK</v>
      </c>
      <c r="R532" s="58"/>
    </row>
    <row r="533" spans="1:18" s="98" customFormat="1" x14ac:dyDescent="0.25">
      <c r="A533" s="92">
        <v>46186</v>
      </c>
      <c r="B533" s="93" t="s">
        <v>110</v>
      </c>
      <c r="C533" s="93" t="s">
        <v>20</v>
      </c>
      <c r="D533" s="93" t="s">
        <v>744</v>
      </c>
      <c r="E533" s="93" t="s">
        <v>50</v>
      </c>
      <c r="F533" s="94">
        <v>1</v>
      </c>
      <c r="G533" s="95"/>
      <c r="H533" s="96">
        <v>0</v>
      </c>
      <c r="I533" s="95"/>
      <c r="J533" s="95">
        <v>0</v>
      </c>
      <c r="K533" s="95"/>
      <c r="L533" s="95" cm="1">
        <f t="array" ref="L533">_xlfn.LET(
_xlpm.stato,TRIM(Ordini!$M533),
_xlpm.sku,TRIM(Ordini!$E533),
_xlpm.paese,TRIM(Ordini!$C533),
_xlpm.andata,_xlfn.XLOOKUP(1,
    (TRIM(Logistica!$A$2:A10521)=_xlpm.sku)*
    (TRIM( Logistica!$B$2:B10521)=_xlpm.paese),
  Logistica!$C$2:C10521,
    0),
_xlpm.reso,_xlfn.XLOOKUP(1,
    (TRIM(Logistica!$A$2:A10521)=_xlpm.sku)*
    (TRIM(Logistica!$B$2:B10521)=_xlpm.paese),
    Logistica!$D$2:D10521,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9.5399999999999991</v>
      </c>
      <c r="M533" s="94" t="s">
        <v>24</v>
      </c>
      <c r="N533" s="94">
        <v>1</v>
      </c>
      <c r="O533" s="97">
        <f>Ordini!$K533+Ordini!$J533+Ordini!$L533</f>
        <v>9.5399999999999991</v>
      </c>
      <c r="P533" s="97">
        <f>Ordini!$I533-Ordini!$O533</f>
        <v>-9.5399999999999991</v>
      </c>
      <c r="Q533" s="94" t="str">
        <f>IF(Ordini!$P533&lt;0,"DA EVITARE","OK")</f>
        <v>DA EVITARE</v>
      </c>
      <c r="R533" s="94"/>
    </row>
    <row r="534" spans="1:18" s="55" customFormat="1" x14ac:dyDescent="0.25">
      <c r="A534" s="56">
        <v>46186</v>
      </c>
      <c r="B534" s="57" t="s">
        <v>110</v>
      </c>
      <c r="C534" s="57" t="s">
        <v>20</v>
      </c>
      <c r="D534" s="57" t="s">
        <v>745</v>
      </c>
      <c r="E534" s="57" t="s">
        <v>50</v>
      </c>
      <c r="F534" s="58">
        <v>1</v>
      </c>
      <c r="G534" s="60">
        <v>15.6</v>
      </c>
      <c r="H534" s="59">
        <v>0</v>
      </c>
      <c r="I534" s="60">
        <f>Ordini!$G534/(1+Ordini!$H534)</f>
        <v>15.6</v>
      </c>
      <c r="J534" s="60">
        <v>0</v>
      </c>
      <c r="K534" s="60" cm="1">
        <f t="array" ref="K534">IFERROR(
_xlfn.XLOOKUP(Ordini!E534,'Prodotti Magazzino'!$A$2:A10101,'Prodotti Magazzino'!$B$2:B10101),
_xlfn.XLOOKUP(Ordini!E534,'Prodotti drop'!$A$2:A10100,'Prodotti drop'!$B$2:B10100)
)*Ordini!F534</f>
        <v>6.41</v>
      </c>
      <c r="L534" s="60" cm="1">
        <f t="array" ref="L534">_xlfn.LET(
_xlpm.stato,TRIM(Ordini!$M534),
_xlpm.sku,TRIM(Ordini!$E534),
_xlpm.paese,TRIM(Ordini!$C534),
_xlpm.andata,_xlfn.XLOOKUP(1,
    (TRIM(Logistica!$A$2:A10522)=_xlpm.sku)*
    (TRIM( Logistica!$B$2:B10522)=_xlpm.paese),
  Logistica!$C$2:C10522,
    0),
_xlpm.reso,_xlfn.XLOOKUP(1,
    (TRIM(Logistica!$A$2:A10522)=_xlpm.sku)*
    (TRIM(Logistica!$B$2:B10522)=_xlpm.paese),
    Logistica!$D$2:D10522,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34" s="58" t="s">
        <v>34</v>
      </c>
      <c r="N534" s="58"/>
      <c r="O534" s="61">
        <f>Ordini!$K534+Ordini!$J534+Ordini!$L534</f>
        <v>11.18</v>
      </c>
      <c r="P534" s="61">
        <f>Ordini!$I534-Ordini!$O534</f>
        <v>4.42</v>
      </c>
      <c r="Q534" s="58" t="str">
        <f>IF(Ordini!$P534&lt;0,"DA EVITARE","OK")</f>
        <v>OK</v>
      </c>
      <c r="R534" s="58"/>
    </row>
    <row r="535" spans="1:18" s="62" customFormat="1" x14ac:dyDescent="0.25">
      <c r="A535" s="48">
        <v>46186</v>
      </c>
      <c r="B535" s="49" t="s">
        <v>110</v>
      </c>
      <c r="C535" s="49" t="s">
        <v>20</v>
      </c>
      <c r="D535" s="49" t="s">
        <v>746</v>
      </c>
      <c r="E535" s="49" t="s">
        <v>50</v>
      </c>
      <c r="F535" s="50">
        <v>1</v>
      </c>
      <c r="G535" s="52">
        <v>15.6</v>
      </c>
      <c r="H535" s="51">
        <v>0</v>
      </c>
      <c r="I535" s="52">
        <f>Ordini!$G535/(1+Ordini!$H535)</f>
        <v>15.6</v>
      </c>
      <c r="J535" s="52">
        <v>0</v>
      </c>
      <c r="K535" s="52" cm="1">
        <f t="array" ref="K535">IFERROR(
_xlfn.XLOOKUP(Ordini!E535,'Prodotti Magazzino'!$A$2:A10102,'Prodotti Magazzino'!$B$2:B10102),
_xlfn.XLOOKUP(Ordini!E535,'Prodotti drop'!$A$2:A10101,'Prodotti drop'!$B$2:B10101)
)*Ordini!F535</f>
        <v>6.41</v>
      </c>
      <c r="L535" s="52" cm="1">
        <f t="array" ref="L535">_xlfn.LET(
_xlpm.stato,TRIM(Ordini!$M535),
_xlpm.sku,TRIM(Ordini!$E535),
_xlpm.paese,TRIM(Ordini!$C535),
_xlpm.andata,_xlfn.XLOOKUP(1,
    (TRIM(Logistica!$A$2:A10523)=_xlpm.sku)*
    (TRIM( Logistica!$B$2:B10523)=_xlpm.paese),
  Logistica!$C$2:C10523,
    0),
_xlpm.reso,_xlfn.XLOOKUP(1,
    (TRIM(Logistica!$A$2:A10523)=_xlpm.sku)*
    (TRIM(Logistica!$B$2:B10523)=_xlpm.paese),
    Logistica!$D$2:D10523,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35" s="50" t="s">
        <v>34</v>
      </c>
      <c r="N535" s="50"/>
      <c r="O535" s="53">
        <f>Ordini!$K535+Ordini!$J535+Ordini!$L535</f>
        <v>11.18</v>
      </c>
      <c r="P535" s="53">
        <f>Ordini!$I535-Ordini!$O535</f>
        <v>4.42</v>
      </c>
      <c r="Q535" s="50" t="str">
        <f>IF(Ordini!$P535&lt;0,"DA EVITARE","OK")</f>
        <v>OK</v>
      </c>
      <c r="R535" s="50"/>
    </row>
    <row r="536" spans="1:18" s="55" customFormat="1" x14ac:dyDescent="0.25">
      <c r="A536" s="56">
        <v>46186</v>
      </c>
      <c r="B536" s="57" t="s">
        <v>110</v>
      </c>
      <c r="C536" s="57" t="s">
        <v>20</v>
      </c>
      <c r="D536" s="57" t="s">
        <v>747</v>
      </c>
      <c r="E536" s="57" t="s">
        <v>50</v>
      </c>
      <c r="F536" s="58">
        <v>1</v>
      </c>
      <c r="G536" s="60">
        <v>15.6</v>
      </c>
      <c r="H536" s="59">
        <v>0</v>
      </c>
      <c r="I536" s="60">
        <f>Ordini!$G536/(1+Ordini!$H536)</f>
        <v>15.6</v>
      </c>
      <c r="J536" s="60">
        <v>0</v>
      </c>
      <c r="K536" s="60" cm="1">
        <f t="array" ref="K536">IFERROR(
_xlfn.XLOOKUP(Ordini!E536,'Prodotti Magazzino'!$A$2:A10103,'Prodotti Magazzino'!$B$2:B10103),
_xlfn.XLOOKUP(Ordini!E536,'Prodotti drop'!$A$2:A10102,'Prodotti drop'!$B$2:B10102)
)*Ordini!F536</f>
        <v>6.41</v>
      </c>
      <c r="L536" s="60" cm="1">
        <f t="array" ref="L536">_xlfn.LET(
_xlpm.stato,TRIM(Ordini!$M536),
_xlpm.sku,TRIM(Ordini!$E536),
_xlpm.paese,TRIM(Ordini!$C536),
_xlpm.andata,_xlfn.XLOOKUP(1,
    (TRIM(Logistica!$A$2:A10524)=_xlpm.sku)*
    (TRIM( Logistica!$B$2:B10524)=_xlpm.paese),
  Logistica!$C$2:C10524,
    0),
_xlpm.reso,_xlfn.XLOOKUP(1,
    (TRIM(Logistica!$A$2:A10524)=_xlpm.sku)*
    (TRIM(Logistica!$B$2:B10524)=_xlpm.paese),
    Logistica!$D$2:D10524,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36" s="58" t="s">
        <v>34</v>
      </c>
      <c r="N536" s="58"/>
      <c r="O536" s="61">
        <f>Ordini!$K536+Ordini!$J536+Ordini!$L536</f>
        <v>11.18</v>
      </c>
      <c r="P536" s="61">
        <f>Ordini!$I536-Ordini!$O536</f>
        <v>4.42</v>
      </c>
      <c r="Q536" s="58" t="str">
        <f>IF(Ordini!$P536&lt;0,"DA EVITARE","OK")</f>
        <v>OK</v>
      </c>
      <c r="R536" s="58"/>
    </row>
    <row r="537" spans="1:18" s="55" customFormat="1" x14ac:dyDescent="0.25">
      <c r="A537" s="56">
        <v>46187</v>
      </c>
      <c r="B537" s="57" t="s">
        <v>363</v>
      </c>
      <c r="C537" s="57" t="s">
        <v>20</v>
      </c>
      <c r="D537" s="57" t="s">
        <v>807</v>
      </c>
      <c r="E537" s="57" t="s">
        <v>808</v>
      </c>
      <c r="F537" s="58">
        <v>1</v>
      </c>
      <c r="G537" s="60">
        <v>15.81</v>
      </c>
      <c r="H537" s="59">
        <v>0</v>
      </c>
      <c r="I537" s="60">
        <f>Ordini!$G537/(1+Ordini!$H537)</f>
        <v>15.81</v>
      </c>
      <c r="J537" s="60">
        <v>1.9</v>
      </c>
      <c r="K537" s="60" cm="1">
        <f t="array" ref="K537">IFERROR(
_xlfn.XLOOKUP(Ordini!E537,'Prodotti Magazzino'!$A$2:A10104,'Prodotti Magazzino'!$B$2:B10104),
_xlfn.XLOOKUP(Ordini!E537,'Prodotti drop'!$A$2:A10103,'Prodotti drop'!$B$2:B10103)
)*Ordini!F537</f>
        <v>6.0145999999999997</v>
      </c>
      <c r="L537" s="60" cm="1">
        <f t="array" ref="L537">_xlfn.LET(
_xlpm.stato,TRIM(Ordini!$M537),
_xlpm.sku,TRIM(Ordini!$E537),
_xlpm.paese,TRIM(Ordini!$C537),
_xlpm.andata,_xlfn.XLOOKUP(1,
    (TRIM(Logistica!$A$2:A10525)=_xlpm.sku)*
    (TRIM( Logistica!$B$2:B10525)=_xlpm.paese),
  Logistica!$C$2:C10525,
    0),
_xlpm.reso,_xlfn.XLOOKUP(1,
    (TRIM(Logistica!$A$2:A10525)=_xlpm.sku)*
    (TRIM(Logistica!$B$2:B10525)=_xlpm.paese),
    Logistica!$D$2:D10525,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37" s="58" t="s">
        <v>34</v>
      </c>
      <c r="N537" s="58"/>
      <c r="O537" s="61">
        <f>Ordini!$K537+Ordini!$J537+Ordini!$L537</f>
        <v>12.2746</v>
      </c>
      <c r="P537" s="61">
        <f>Ordini!$I537-Ordini!$O537</f>
        <v>3.535400000000001</v>
      </c>
      <c r="Q537" s="58" t="str">
        <f>IF(Ordini!$P537&lt;0,"DA EVITARE","OK")</f>
        <v>OK</v>
      </c>
      <c r="R537" s="58"/>
    </row>
    <row r="538" spans="1:18" s="62" customFormat="1" x14ac:dyDescent="0.25">
      <c r="A538" s="48">
        <v>46187</v>
      </c>
      <c r="B538" s="49" t="s">
        <v>109</v>
      </c>
      <c r="C538" s="49" t="s">
        <v>20</v>
      </c>
      <c r="D538" s="49" t="s">
        <v>748</v>
      </c>
      <c r="E538" s="49" t="s">
        <v>505</v>
      </c>
      <c r="F538" s="50">
        <v>1</v>
      </c>
      <c r="G538" s="52">
        <v>13.51</v>
      </c>
      <c r="H538" s="51">
        <v>0</v>
      </c>
      <c r="I538" s="52">
        <f>Ordini!$G538/(1+Ordini!$H538)</f>
        <v>13.51</v>
      </c>
      <c r="J538" s="52">
        <v>2.56</v>
      </c>
      <c r="K538" s="52" cm="1">
        <f t="array" ref="K538">IFERROR(
_xlfn.XLOOKUP(Ordini!E538,'Prodotti Magazzino'!$A$2:A10104,'Prodotti Magazzino'!$B$2:B10104),
_xlfn.XLOOKUP(Ordini!E538,'Prodotti drop'!$A$2:A10103,'Prodotti drop'!$B$2:B10103)
)*Ordini!F538</f>
        <v>2.4500000000000002</v>
      </c>
      <c r="L538" s="52" cm="1">
        <f t="array" ref="L538">_xlfn.LET(
_xlpm.stato,TRIM(Ordini!$M538),
_xlpm.sku,TRIM(Ordini!$E538),
_xlpm.paese,TRIM(Ordini!$C538),
_xlpm.andata,_xlfn.XLOOKUP(1,
    (TRIM(Logistica!$A$2:A10525)=_xlpm.sku)*
    (TRIM( Logistica!$B$2:B10525)=_xlpm.paese),
  Logistica!$C$2:C10525,
    0),
_xlpm.reso,_xlfn.XLOOKUP(1,
    (TRIM(Logistica!$A$2:A10525)=_xlpm.sku)*
    (TRIM(Logistica!$B$2:B10525)=_xlpm.paese),
    Logistica!$D$2:D10525,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38" s="50" t="s">
        <v>34</v>
      </c>
      <c r="N538" s="50"/>
      <c r="O538" s="53">
        <f>Ordini!$K538+Ordini!$J538+Ordini!$L538</f>
        <v>9.370000000000001</v>
      </c>
      <c r="P538" s="53">
        <f>Ordini!$I538-Ordini!$O538</f>
        <v>4.1399999999999988</v>
      </c>
      <c r="Q538" s="50" t="str">
        <f>IF(Ordini!$P538&lt;0,"DA EVITARE","OK")</f>
        <v>OK</v>
      </c>
      <c r="R538" s="50"/>
    </row>
    <row r="539" spans="1:18" s="55" customFormat="1" x14ac:dyDescent="0.25">
      <c r="A539" s="56">
        <v>46187</v>
      </c>
      <c r="B539" s="57" t="s">
        <v>109</v>
      </c>
      <c r="C539" s="57" t="s">
        <v>20</v>
      </c>
      <c r="D539" s="57" t="s">
        <v>749</v>
      </c>
      <c r="E539" s="57" t="s">
        <v>50</v>
      </c>
      <c r="F539" s="58">
        <v>1</v>
      </c>
      <c r="G539" s="60">
        <v>18.989999999999998</v>
      </c>
      <c r="H539" s="59">
        <v>0</v>
      </c>
      <c r="I539" s="60">
        <f>Ordini!$G539/(1+Ordini!$H539)</f>
        <v>18.989999999999998</v>
      </c>
      <c r="J539" s="60">
        <v>3.59</v>
      </c>
      <c r="K539" s="60" cm="1">
        <f t="array" ref="K539">IFERROR(
_xlfn.XLOOKUP(Ordini!E539,'Prodotti Magazzino'!$A$2:A10105,'Prodotti Magazzino'!$B$2:B10105),
_xlfn.XLOOKUP(Ordini!E539,'Prodotti drop'!$A$2:A10104,'Prodotti drop'!$B$2:B10104)
)*Ordini!F539</f>
        <v>6.41</v>
      </c>
      <c r="L539" s="60" cm="1">
        <f t="array" ref="L539">_xlfn.LET(
_xlpm.stato,TRIM(Ordini!$M539),
_xlpm.sku,TRIM(Ordini!$E539),
_xlpm.paese,TRIM(Ordini!$C539),
_xlpm.andata,_xlfn.XLOOKUP(1,
    (TRIM(Logistica!$A$2:A10526)=_xlpm.sku)*
    (TRIM( Logistica!$B$2:B10526)=_xlpm.paese),
  Logistica!$C$2:C10526,
    0),
_xlpm.reso,_xlfn.XLOOKUP(1,
    (TRIM(Logistica!$A$2:A10526)=_xlpm.sku)*
    (TRIM(Logistica!$B$2:B10526)=_xlpm.paese),
    Logistica!$D$2:D10526,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39" s="58" t="s">
        <v>34</v>
      </c>
      <c r="N539" s="58"/>
      <c r="O539" s="61">
        <f>Ordini!$K539+Ordini!$J539+Ordini!$L539</f>
        <v>14.77</v>
      </c>
      <c r="P539" s="61">
        <f>Ordini!$I539-Ordini!$O539</f>
        <v>4.2199999999999989</v>
      </c>
      <c r="Q539" s="58" t="str">
        <f>IF(Ordini!$P539&lt;0,"DA EVITARE","OK")</f>
        <v>OK</v>
      </c>
      <c r="R539" s="58"/>
    </row>
    <row r="540" spans="1:18" s="62" customFormat="1" x14ac:dyDescent="0.25">
      <c r="A540" s="48">
        <v>46187</v>
      </c>
      <c r="B540" s="49" t="s">
        <v>109</v>
      </c>
      <c r="C540" s="49" t="s">
        <v>20</v>
      </c>
      <c r="D540" s="49" t="s">
        <v>750</v>
      </c>
      <c r="E540" s="49" t="s">
        <v>60</v>
      </c>
      <c r="F540" s="50">
        <v>1</v>
      </c>
      <c r="G540" s="52">
        <v>87.99</v>
      </c>
      <c r="H540" s="51">
        <v>0</v>
      </c>
      <c r="I540" s="52">
        <f>Ordini!$G540/(1+Ordini!$H540)</f>
        <v>87.99</v>
      </c>
      <c r="J540" s="52">
        <v>14.38</v>
      </c>
      <c r="K540" s="52" cm="1">
        <f t="array" ref="K540">IFERROR(
_xlfn.XLOOKUP(Ordini!E540,'Prodotti Magazzino'!$A$2:A10106,'Prodotti Magazzino'!$B$2:B10106),
_xlfn.XLOOKUP(Ordini!E540,'Prodotti drop'!$A$2:A10105,'Prodotti drop'!$B$2:B10105)
)*Ordini!F540</f>
        <v>39.76</v>
      </c>
      <c r="L540" s="52" cm="1">
        <f t="array" ref="L540">_xlfn.LET(
_xlpm.stato,TRIM(Ordini!$M540),
_xlpm.sku,TRIM(Ordini!$E540),
_xlpm.paese,TRIM(Ordini!$C540),
_xlpm.andata,_xlfn.XLOOKUP(1,
    (TRIM(Logistica!$A$2:A10527)=_xlpm.sku)*
    (TRIM( Logistica!$B$2:B10527)=_xlpm.paese),
  Logistica!$C$2:C10527,
    0),
_xlpm.reso,_xlfn.XLOOKUP(1,
    (TRIM(Logistica!$A$2:A10527)=_xlpm.sku)*
    (TRIM(Logistica!$B$2:B10527)=_xlpm.paese),
    Logistica!$D$2:D10527,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40" s="50" t="s">
        <v>34</v>
      </c>
      <c r="N540" s="50"/>
      <c r="O540" s="53">
        <f>Ordini!$K540+Ordini!$J540+Ordini!$L540</f>
        <v>62.15</v>
      </c>
      <c r="P540" s="53">
        <f>Ordini!$I540-Ordini!$O540</f>
        <v>25.839999999999996</v>
      </c>
      <c r="Q540" s="50" t="str">
        <f>IF(Ordini!$P540&lt;0,"DA EVITARE","OK")</f>
        <v>OK</v>
      </c>
      <c r="R540" s="50"/>
    </row>
    <row r="541" spans="1:18" s="55" customFormat="1" x14ac:dyDescent="0.25">
      <c r="A541" s="56">
        <v>46187</v>
      </c>
      <c r="B541" s="57" t="s">
        <v>109</v>
      </c>
      <c r="C541" s="57" t="s">
        <v>20</v>
      </c>
      <c r="D541" s="57" t="s">
        <v>751</v>
      </c>
      <c r="E541" s="57" t="s">
        <v>414</v>
      </c>
      <c r="F541" s="58">
        <v>1</v>
      </c>
      <c r="G541" s="60">
        <v>21.99</v>
      </c>
      <c r="H541" s="59">
        <v>0</v>
      </c>
      <c r="I541" s="60">
        <f>Ordini!$G541/(1+Ordini!$H541)</f>
        <v>21.99</v>
      </c>
      <c r="J541" s="60">
        <v>4.16</v>
      </c>
      <c r="K541" s="60" cm="1">
        <f t="array" ref="K541">IFERROR(
_xlfn.XLOOKUP(Ordini!E541,'Prodotti Magazzino'!$A$2:A10107,'Prodotti Magazzino'!$B$2:B10107),
_xlfn.XLOOKUP(Ordini!E541,'Prodotti drop'!$A$2:A10106,'Prodotti drop'!$B$2:B10106)
)*Ordini!F541</f>
        <v>8.24</v>
      </c>
      <c r="L541" s="60" cm="1">
        <f t="array" ref="L541">_xlfn.LET(
_xlpm.stato,TRIM(Ordini!$M541),
_xlpm.sku,TRIM(Ordini!$E541),
_xlpm.paese,TRIM(Ordini!$C541),
_xlpm.andata,_xlfn.XLOOKUP(1,
    (TRIM(Logistica!$A$2:A10528)=_xlpm.sku)*
    (TRIM( Logistica!$B$2:B10528)=_xlpm.paese),
  Logistica!$C$2:C10528,
    0),
_xlpm.reso,_xlfn.XLOOKUP(1,
    (TRIM(Logistica!$A$2:A10528)=_xlpm.sku)*
    (TRIM(Logistica!$B$2:B10528)=_xlpm.paese),
    Logistica!$D$2:D10528,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4.8499999999999996</v>
      </c>
      <c r="M541" s="58" t="s">
        <v>34</v>
      </c>
      <c r="N541" s="58"/>
      <c r="O541" s="61">
        <f>Ordini!$K541+Ordini!$J541+Ordini!$L541</f>
        <v>17.25</v>
      </c>
      <c r="P541" s="61">
        <f>Ordini!$I541-Ordini!$O541</f>
        <v>4.7399999999999984</v>
      </c>
      <c r="Q541" s="58" t="str">
        <f>IF(Ordini!$P541&lt;0,"DA EVITARE","OK")</f>
        <v>OK</v>
      </c>
      <c r="R541" s="58"/>
    </row>
    <row r="542" spans="1:18" s="62" customFormat="1" x14ac:dyDescent="0.25">
      <c r="A542" s="48">
        <v>46187</v>
      </c>
      <c r="B542" s="49" t="s">
        <v>110</v>
      </c>
      <c r="C542" s="49" t="s">
        <v>20</v>
      </c>
      <c r="D542" s="49" t="s">
        <v>752</v>
      </c>
      <c r="E542" s="49" t="s">
        <v>50</v>
      </c>
      <c r="F542" s="50">
        <v>1</v>
      </c>
      <c r="G542" s="52">
        <v>15.6</v>
      </c>
      <c r="H542" s="51">
        <v>0</v>
      </c>
      <c r="I542" s="52">
        <f>Ordini!$G542/(1+Ordini!$H542)</f>
        <v>15.6</v>
      </c>
      <c r="J542" s="52">
        <v>0</v>
      </c>
      <c r="K542" s="52" cm="1">
        <f t="array" ref="K542">IFERROR(
_xlfn.XLOOKUP(Ordini!E542,'Prodotti Magazzino'!$A$2:A10108,'Prodotti Magazzino'!$B$2:B10108),
_xlfn.XLOOKUP(Ordini!E542,'Prodotti drop'!$A$2:A10107,'Prodotti drop'!$B$2:B10107)
)*Ordini!F542</f>
        <v>6.41</v>
      </c>
      <c r="L542" s="52" cm="1">
        <f t="array" ref="L542">_xlfn.LET(
_xlpm.stato,TRIM(Ordini!$M542),
_xlpm.sku,TRIM(Ordini!$E542),
_xlpm.paese,TRIM(Ordini!$C542),
_xlpm.andata,_xlfn.XLOOKUP(1,
    (TRIM(Logistica!$A$2:A10529)=_xlpm.sku)*
    (TRIM( Logistica!$B$2:B10529)=_xlpm.paese),
  Logistica!$C$2:C10529,
    0),
_xlpm.reso,_xlfn.XLOOKUP(1,
    (TRIM(Logistica!$A$2:A10529)=_xlpm.sku)*
    (TRIM(Logistica!$B$2:B10529)=_xlpm.paese),
    Logistica!$D$2:D10529,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42" s="50" t="s">
        <v>34</v>
      </c>
      <c r="N542" s="50"/>
      <c r="O542" s="53">
        <f>Ordini!$K542+Ordini!$J542+Ordini!$L542</f>
        <v>11.18</v>
      </c>
      <c r="P542" s="53">
        <f>Ordini!$I542-Ordini!$O542</f>
        <v>4.42</v>
      </c>
      <c r="Q542" s="50" t="str">
        <f>IF(Ordini!$P542&lt;0,"DA EVITARE","OK")</f>
        <v>OK</v>
      </c>
      <c r="R542" s="50"/>
    </row>
    <row r="543" spans="1:18" s="55" customFormat="1" x14ac:dyDescent="0.25">
      <c r="A543" s="56">
        <v>46187</v>
      </c>
      <c r="B543" s="57" t="s">
        <v>110</v>
      </c>
      <c r="C543" s="57" t="s">
        <v>20</v>
      </c>
      <c r="D543" s="57" t="s">
        <v>753</v>
      </c>
      <c r="E543" s="57" t="s">
        <v>50</v>
      </c>
      <c r="F543" s="58">
        <v>1</v>
      </c>
      <c r="G543" s="60">
        <v>15.73</v>
      </c>
      <c r="H543" s="59">
        <v>0</v>
      </c>
      <c r="I543" s="60">
        <f>Ordini!$G543/(1+Ordini!$H543)</f>
        <v>15.73</v>
      </c>
      <c r="J543" s="60">
        <v>0</v>
      </c>
      <c r="K543" s="60" cm="1">
        <f t="array" ref="K543">IFERROR(
_xlfn.XLOOKUP(Ordini!E543,'Prodotti Magazzino'!$A$2:A10109,'Prodotti Magazzino'!$B$2:B10109),
_xlfn.XLOOKUP(Ordini!E543,'Prodotti drop'!$A$2:A10108,'Prodotti drop'!$B$2:B10108)
)*Ordini!F543</f>
        <v>6.41</v>
      </c>
      <c r="L543" s="60" cm="1">
        <f t="array" ref="L543">_xlfn.LET(
_xlpm.stato,TRIM(Ordini!$M543),
_xlpm.sku,TRIM(Ordini!$E543),
_xlpm.paese,TRIM(Ordini!$C543),
_xlpm.andata,_xlfn.XLOOKUP(1,
    (TRIM(Logistica!$A$2:A10530)=_xlpm.sku)*
    (TRIM( Logistica!$B$2:B10530)=_xlpm.paese),
  Logistica!$C$2:C10530,
    0),
_xlpm.reso,_xlfn.XLOOKUP(1,
    (TRIM(Logistica!$A$2:A10530)=_xlpm.sku)*
    (TRIM(Logistica!$B$2:B10530)=_xlpm.paese),
    Logistica!$D$2:D10530,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43" s="58" t="s">
        <v>34</v>
      </c>
      <c r="N543" s="58"/>
      <c r="O543" s="61">
        <f>Ordini!$K543+Ordini!$J543+Ordini!$L543</f>
        <v>11.18</v>
      </c>
      <c r="P543" s="61">
        <f>Ordini!$I543-Ordini!$O543</f>
        <v>4.5500000000000007</v>
      </c>
      <c r="Q543" s="58" t="str">
        <f>IF(Ordini!$P543&lt;0,"DA EVITARE","OK")</f>
        <v>OK</v>
      </c>
      <c r="R543" s="58"/>
    </row>
    <row r="544" spans="1:18" s="62" customFormat="1" x14ac:dyDescent="0.25">
      <c r="A544" s="48">
        <v>46187</v>
      </c>
      <c r="B544" s="49" t="s">
        <v>110</v>
      </c>
      <c r="C544" s="49" t="s">
        <v>20</v>
      </c>
      <c r="D544" s="49" t="s">
        <v>754</v>
      </c>
      <c r="E544" s="49" t="s">
        <v>50</v>
      </c>
      <c r="F544" s="50">
        <v>1</v>
      </c>
      <c r="G544" s="52">
        <v>15.73</v>
      </c>
      <c r="H544" s="51">
        <v>0</v>
      </c>
      <c r="I544" s="52">
        <f>Ordini!$G544/(1+Ordini!$H544)</f>
        <v>15.73</v>
      </c>
      <c r="J544" s="52">
        <v>0</v>
      </c>
      <c r="K544" s="52" cm="1">
        <f t="array" ref="K544">IFERROR(
_xlfn.XLOOKUP(Ordini!E544,'Prodotti Magazzino'!$A$2:A10110,'Prodotti Magazzino'!$B$2:B10110),
_xlfn.XLOOKUP(Ordini!E544,'Prodotti drop'!$A$2:A10109,'Prodotti drop'!$B$2:B10109)
)*Ordini!F544</f>
        <v>6.41</v>
      </c>
      <c r="L544" s="52" cm="1">
        <f t="array" ref="L544">_xlfn.LET(
_xlpm.stato,TRIM(Ordini!$M544),
_xlpm.sku,TRIM(Ordini!$E544),
_xlpm.paese,TRIM(Ordini!$C544),
_xlpm.andata,_xlfn.XLOOKUP(1,
    (TRIM(Logistica!$A$2:A10531)=_xlpm.sku)*
    (TRIM( Logistica!$B$2:B10531)=_xlpm.paese),
  Logistica!$C$2:C10531,
    0),
_xlpm.reso,_xlfn.XLOOKUP(1,
    (TRIM(Logistica!$A$2:A10531)=_xlpm.sku)*
    (TRIM(Logistica!$B$2:B10531)=_xlpm.paese),
    Logistica!$D$2:D10531,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44" s="50" t="s">
        <v>34</v>
      </c>
      <c r="N544" s="50"/>
      <c r="O544" s="53">
        <f>Ordini!$K544+Ordini!$J544+Ordini!$L544</f>
        <v>11.18</v>
      </c>
      <c r="P544" s="53">
        <f>Ordini!$I544-Ordini!$O544</f>
        <v>4.5500000000000007</v>
      </c>
      <c r="Q544" s="50" t="str">
        <f>IF(Ordini!$P544&lt;0,"DA EVITARE","OK")</f>
        <v>OK</v>
      </c>
      <c r="R544" s="50"/>
    </row>
    <row r="545" spans="1:18" s="55" customFormat="1" x14ac:dyDescent="0.25">
      <c r="A545" s="56">
        <v>46188</v>
      </c>
      <c r="B545" s="57" t="s">
        <v>109</v>
      </c>
      <c r="C545" s="57" t="s">
        <v>20</v>
      </c>
      <c r="D545" s="57" t="s">
        <v>755</v>
      </c>
      <c r="E545" s="57" t="s">
        <v>796</v>
      </c>
      <c r="F545" s="58">
        <v>1</v>
      </c>
      <c r="G545" s="60">
        <v>15.94</v>
      </c>
      <c r="H545" s="59">
        <v>0</v>
      </c>
      <c r="I545" s="60">
        <f>Ordini!$G545/(1+Ordini!$H545)</f>
        <v>15.94</v>
      </c>
      <c r="J545" s="60">
        <v>2.59</v>
      </c>
      <c r="K545" s="60" cm="1">
        <f t="array" ref="K545">IFERROR(
_xlfn.XLOOKUP(Ordini!E545,'Prodotti Magazzino'!$A$2:A10111,'Prodotti Magazzino'!$B$2:B10111),
_xlfn.XLOOKUP(Ordini!E545,'Prodotti drop'!$A$2:A10110,'Prodotti drop'!$B$2:B10110)
)*Ordini!F545</f>
        <v>4.3676000000000004</v>
      </c>
      <c r="L545" s="60" cm="1">
        <f t="array" ref="L545">_xlfn.LET(
_xlpm.stato,TRIM(Ordini!$M545),
_xlpm.sku,TRIM(Ordini!$E545),
_xlpm.paese,TRIM(Ordini!$C545),
_xlpm.andata,_xlfn.XLOOKUP(1,
    (TRIM(Logistica!$A$2:A10532)=_xlpm.sku)*
    (TRIM( Logistica!$B$2:B10532)=_xlpm.paese),
  Logistica!$C$2:C10532,
    0),
_xlpm.reso,_xlfn.XLOOKUP(1,
    (TRIM(Logistica!$A$2:A10532)=_xlpm.sku)*
    (TRIM(Logistica!$B$2:B10532)=_xlpm.paese),
    Logistica!$D$2:D10532,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45" s="58" t="s">
        <v>34</v>
      </c>
      <c r="N545" s="58"/>
      <c r="O545" s="61">
        <f>Ordini!$K545+Ordini!$J545+Ordini!$L545</f>
        <v>11.317600000000001</v>
      </c>
      <c r="P545" s="61">
        <f>Ordini!$I545-Ordini!$O545</f>
        <v>4.622399999999999</v>
      </c>
      <c r="Q545" s="58" t="str">
        <f>IF(Ordini!$P545&lt;0,"DA EVITARE","OK")</f>
        <v>OK</v>
      </c>
      <c r="R545" s="58"/>
    </row>
    <row r="546" spans="1:18" s="62" customFormat="1" x14ac:dyDescent="0.25">
      <c r="A546" s="48">
        <v>46188</v>
      </c>
      <c r="B546" s="49" t="s">
        <v>110</v>
      </c>
      <c r="C546" s="49" t="s">
        <v>20</v>
      </c>
      <c r="D546" s="49" t="s">
        <v>756</v>
      </c>
      <c r="E546" s="49" t="s">
        <v>736</v>
      </c>
      <c r="F546" s="50">
        <v>1</v>
      </c>
      <c r="G546" s="52">
        <v>85.84</v>
      </c>
      <c r="H546" s="51">
        <v>0</v>
      </c>
      <c r="I546" s="52">
        <f>Ordini!$G546/(1+Ordini!$H546)</f>
        <v>85.84</v>
      </c>
      <c r="J546" s="52">
        <v>0</v>
      </c>
      <c r="K546" s="52" cm="1">
        <f t="array" ref="K546">IFERROR(
_xlfn.XLOOKUP(Ordini!E546,'Prodotti Magazzino'!$A$2:A10112,'Prodotti Magazzino'!$B$2:B10112),
_xlfn.XLOOKUP(Ordini!E546,'Prodotti drop'!$A$2:A10111,'Prodotti drop'!$B$2:B10111)
)*Ordini!F546</f>
        <v>44</v>
      </c>
      <c r="L546" s="52" cm="1">
        <f t="array" ref="L546">_xlfn.LET(
_xlpm.stato,TRIM(Ordini!$M546),
_xlpm.sku,TRIM(Ordini!$E546),
_xlpm.paese,TRIM(Ordini!$C546),
_xlpm.andata,_xlfn.XLOOKUP(1,
    (TRIM(Logistica!$A$2:A10533)=_xlpm.sku)*
    (TRIM( Logistica!$B$2:B10533)=_xlpm.paese),
  Logistica!$C$2:C10533,
    0),
_xlpm.reso,_xlfn.XLOOKUP(1,
    (TRIM(Logistica!$A$2:A10533)=_xlpm.sku)*
    (TRIM(Logistica!$B$2:B10533)=_xlpm.paese),
    Logistica!$D$2:D10533,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46" s="50" t="s">
        <v>34</v>
      </c>
      <c r="N546" s="50"/>
      <c r="O546" s="53">
        <f>Ordini!$K546+Ordini!$J546+Ordini!$L546</f>
        <v>50.065573770491802</v>
      </c>
      <c r="P546" s="53">
        <f>Ordini!$I546-Ordini!$O546</f>
        <v>35.774426229508201</v>
      </c>
      <c r="Q546" s="50" t="str">
        <f>IF(Ordini!$P546&lt;0,"DA EVITARE","OK")</f>
        <v>OK</v>
      </c>
      <c r="R546" s="50"/>
    </row>
    <row r="547" spans="1:18" s="55" customFormat="1" x14ac:dyDescent="0.25">
      <c r="A547" s="56">
        <v>46188</v>
      </c>
      <c r="B547" s="57" t="s">
        <v>110</v>
      </c>
      <c r="C547" s="57" t="s">
        <v>20</v>
      </c>
      <c r="D547" s="57" t="s">
        <v>757</v>
      </c>
      <c r="E547" s="57" t="s">
        <v>50</v>
      </c>
      <c r="F547" s="58">
        <v>1</v>
      </c>
      <c r="G547" s="60">
        <v>15.73</v>
      </c>
      <c r="H547" s="59">
        <v>0</v>
      </c>
      <c r="I547" s="60">
        <f>Ordini!$G547/(1+Ordini!$H547)</f>
        <v>15.73</v>
      </c>
      <c r="J547" s="60">
        <v>0</v>
      </c>
      <c r="K547" s="60" cm="1">
        <f t="array" ref="K547">IFERROR(
_xlfn.XLOOKUP(Ordini!E547,'Prodotti Magazzino'!$A$2:A10113,'Prodotti Magazzino'!$B$2:B10113),
_xlfn.XLOOKUP(Ordini!E547,'Prodotti drop'!$A$2:A10112,'Prodotti drop'!$B$2:B10112)
)*Ordini!F547</f>
        <v>6.41</v>
      </c>
      <c r="L547" s="60" cm="1">
        <f t="array" ref="L547">_xlfn.LET(
_xlpm.stato,TRIM(Ordini!$M547),
_xlpm.sku,TRIM(Ordini!$E547),
_xlpm.paese,TRIM(Ordini!$C547),
_xlpm.andata,_xlfn.XLOOKUP(1,
    (TRIM(Logistica!$A$2:A10534)=_xlpm.sku)*
    (TRIM( Logistica!$B$2:B10534)=_xlpm.paese),
  Logistica!$C$2:C10534,
    0),
_xlpm.reso,_xlfn.XLOOKUP(1,
    (TRIM(Logistica!$A$2:A10534)=_xlpm.sku)*
    (TRIM(Logistica!$B$2:B10534)=_xlpm.paese),
    Logistica!$D$2:D10534,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47" s="58" t="s">
        <v>34</v>
      </c>
      <c r="N547" s="58"/>
      <c r="O547" s="61">
        <f>Ordini!$K547+Ordini!$J547+Ordini!$L547</f>
        <v>11.18</v>
      </c>
      <c r="P547" s="61">
        <f>Ordini!$I547-Ordini!$O547</f>
        <v>4.5500000000000007</v>
      </c>
      <c r="Q547" s="58" t="str">
        <f>IF(Ordini!$P547&lt;0,"DA EVITARE","OK")</f>
        <v>OK</v>
      </c>
      <c r="R547" s="58"/>
    </row>
    <row r="548" spans="1:18" s="62" customFormat="1" x14ac:dyDescent="0.25">
      <c r="A548" s="48">
        <v>46188</v>
      </c>
      <c r="B548" s="49" t="s">
        <v>109</v>
      </c>
      <c r="C548" s="49" t="s">
        <v>20</v>
      </c>
      <c r="D548" s="49" t="s">
        <v>758</v>
      </c>
      <c r="E548" s="49" t="s">
        <v>60</v>
      </c>
      <c r="F548" s="50">
        <v>1</v>
      </c>
      <c r="G548" s="52">
        <v>87.99</v>
      </c>
      <c r="H548" s="51">
        <v>0</v>
      </c>
      <c r="I548" s="52">
        <f>Ordini!$G548/(1+Ordini!$H548)</f>
        <v>87.99</v>
      </c>
      <c r="J548" s="52">
        <v>14.36</v>
      </c>
      <c r="K548" s="52" cm="1">
        <f t="array" ref="K548">IFERROR(
_xlfn.XLOOKUP(Ordini!E548,'Prodotti Magazzino'!$A$2:A10114,'Prodotti Magazzino'!$B$2:B10114),
_xlfn.XLOOKUP(Ordini!E548,'Prodotti drop'!$A$2:A10113,'Prodotti drop'!$B$2:B10113)
)*Ordini!F548</f>
        <v>39.76</v>
      </c>
      <c r="L548" s="52" cm="1">
        <f t="array" ref="L548">_xlfn.LET(
_xlpm.stato,TRIM(Ordini!$M548),
_xlpm.sku,TRIM(Ordini!$E548),
_xlpm.paese,TRIM(Ordini!$C548),
_xlpm.andata,_xlfn.XLOOKUP(1,
    (TRIM(Logistica!$A$2:A10535)=_xlpm.sku)*
    (TRIM( Logistica!$B$2:B10535)=_xlpm.paese),
  Logistica!$C$2:C10535,
    0),
_xlpm.reso,_xlfn.XLOOKUP(1,
    (TRIM(Logistica!$A$2:A10535)=_xlpm.sku)*
    (TRIM(Logistica!$B$2:B10535)=_xlpm.paese),
    Logistica!$D$2:D10535,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48" s="50" t="s">
        <v>34</v>
      </c>
      <c r="N548" s="50"/>
      <c r="O548" s="53">
        <f>Ordini!$K548+Ordini!$J548+Ordini!$L548</f>
        <v>62.129999999999995</v>
      </c>
      <c r="P548" s="53">
        <f>Ordini!$I548-Ordini!$O548</f>
        <v>25.86</v>
      </c>
      <c r="Q548" s="50" t="str">
        <f>IF(Ordini!$P548&lt;0,"DA EVITARE","OK")</f>
        <v>OK</v>
      </c>
      <c r="R548" s="50"/>
    </row>
    <row r="549" spans="1:18" s="55" customFormat="1" x14ac:dyDescent="0.25">
      <c r="A549" s="56">
        <v>46188</v>
      </c>
      <c r="B549" s="57" t="s">
        <v>109</v>
      </c>
      <c r="C549" s="57" t="s">
        <v>20</v>
      </c>
      <c r="D549" s="57" t="s">
        <v>759</v>
      </c>
      <c r="E549" s="57" t="s">
        <v>655</v>
      </c>
      <c r="F549" s="58">
        <v>1</v>
      </c>
      <c r="G549" s="60">
        <v>21</v>
      </c>
      <c r="H549" s="59">
        <v>0</v>
      </c>
      <c r="I549" s="60">
        <f>Ordini!$G549/(1+Ordini!$H549)</f>
        <v>21</v>
      </c>
      <c r="J549" s="60">
        <v>3.94</v>
      </c>
      <c r="K549" s="60" cm="1">
        <f t="array" ref="K549">IFERROR(
_xlfn.XLOOKUP(Ordini!E549,'Prodotti Magazzino'!$A$2:A10115,'Prodotti Magazzino'!$B$2:B10115),
_xlfn.XLOOKUP(Ordini!E549,'Prodotti drop'!$A$2:A10114,'Prodotti drop'!$B$2:B10114)
)*Ordini!F549</f>
        <v>12.419599999999999</v>
      </c>
      <c r="L549" s="60" cm="1">
        <f t="array" ref="L549">_xlfn.LET(
_xlpm.stato,TRIM(Ordini!$M549),
_xlpm.sku,TRIM(Ordini!$E549),
_xlpm.paese,TRIM(Ordini!$C549),
_xlpm.andata,_xlfn.XLOOKUP(1,
    (TRIM(Logistica!$A$2:A10536)=_xlpm.sku)*
    (TRIM( Logistica!$B$2:B10536)=_xlpm.paese),
  Logistica!$C$2:C10536,
    0),
_xlpm.reso,_xlfn.XLOOKUP(1,
    (TRIM(Logistica!$A$2:A10536)=_xlpm.sku)*
    (TRIM(Logistica!$B$2:B10536)=_xlpm.paese),
    Logistica!$D$2:D10536,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0</v>
      </c>
      <c r="M549" s="58" t="s">
        <v>34</v>
      </c>
      <c r="N549" s="58"/>
      <c r="O549" s="61">
        <f>Ordini!$K549+Ordini!$J549+Ordini!$L549</f>
        <v>16.3596</v>
      </c>
      <c r="P549" s="61">
        <f>Ordini!$I549-Ordini!$O549</f>
        <v>4.6403999999999996</v>
      </c>
      <c r="Q549" s="58" t="str">
        <f>IF(Ordini!$P549&lt;0,"DA EVITARE","OK")</f>
        <v>OK</v>
      </c>
      <c r="R549" s="58"/>
    </row>
    <row r="550" spans="1:18" s="62" customFormat="1" x14ac:dyDescent="0.25">
      <c r="A550" s="48">
        <v>46188</v>
      </c>
      <c r="B550" s="49" t="s">
        <v>109</v>
      </c>
      <c r="C550" s="49" t="s">
        <v>20</v>
      </c>
      <c r="D550" s="49" t="s">
        <v>760</v>
      </c>
      <c r="E550" s="49" t="s">
        <v>50</v>
      </c>
      <c r="F550" s="50">
        <v>1</v>
      </c>
      <c r="G550" s="52">
        <v>18.989999999999998</v>
      </c>
      <c r="H550" s="51">
        <v>0</v>
      </c>
      <c r="I550" s="52">
        <f>Ordini!$G550/(1+Ordini!$H550)</f>
        <v>18.989999999999998</v>
      </c>
      <c r="J550" s="52">
        <v>3.57</v>
      </c>
      <c r="K550" s="52" cm="1">
        <f t="array" ref="K550">IFERROR(
_xlfn.XLOOKUP(Ordini!E550,'Prodotti Magazzino'!$A$2:A10116,'Prodotti Magazzino'!$B$2:B10116),
_xlfn.XLOOKUP(Ordini!E550,'Prodotti drop'!$A$2:A10115,'Prodotti drop'!$B$2:B10115)
)*Ordini!F550</f>
        <v>6.41</v>
      </c>
      <c r="L550" s="52" cm="1">
        <f t="array" ref="L550">_xlfn.LET(
_xlpm.stato,TRIM(Ordini!$M550),
_xlpm.sku,TRIM(Ordini!$E550),
_xlpm.paese,TRIM(Ordini!$C550),
_xlpm.andata,_xlfn.XLOOKUP(1,
    (TRIM(Logistica!$A$2:A10537)=_xlpm.sku)*
    (TRIM( Logistica!$B$2:B10537)=_xlpm.paese),
  Logistica!$C$2:C10537,
    0),
_xlpm.reso,_xlfn.XLOOKUP(1,
    (TRIM(Logistica!$A$2:A10537)=_xlpm.sku)*
    (TRIM(Logistica!$B$2:B10537)=_xlpm.paese),
    Logistica!$D$2:D10537,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50" s="50" t="s">
        <v>34</v>
      </c>
      <c r="N550" s="50"/>
      <c r="O550" s="53">
        <f>Ordini!$K550+Ordini!$J550+Ordini!$L550</f>
        <v>14.75</v>
      </c>
      <c r="P550" s="53">
        <f>Ordini!$I550-Ordini!$O550</f>
        <v>4.2399999999999984</v>
      </c>
      <c r="Q550" s="50" t="str">
        <f>IF(Ordini!$P550&lt;0,"DA EVITARE","OK")</f>
        <v>OK</v>
      </c>
      <c r="R550" s="50"/>
    </row>
    <row r="551" spans="1:18" s="55" customFormat="1" x14ac:dyDescent="0.25">
      <c r="A551" s="56">
        <v>46188</v>
      </c>
      <c r="B551" s="57" t="s">
        <v>109</v>
      </c>
      <c r="C551" s="57" t="s">
        <v>20</v>
      </c>
      <c r="D551" s="57" t="s">
        <v>761</v>
      </c>
      <c r="E551" s="57" t="s">
        <v>797</v>
      </c>
      <c r="F551" s="58">
        <v>1</v>
      </c>
      <c r="G551" s="60">
        <v>35</v>
      </c>
      <c r="H551" s="59">
        <v>0</v>
      </c>
      <c r="I551" s="60">
        <f>Ordini!$G551/(1+Ordini!$H551)</f>
        <v>35</v>
      </c>
      <c r="J551" s="60">
        <v>6.59</v>
      </c>
      <c r="K551" s="60" cm="1">
        <f t="array" ref="K551">IFERROR(
_xlfn.XLOOKUP(Ordini!E551,'Prodotti Magazzino'!$A$2:A10117,'Prodotti Magazzino'!$B$2:B10117),
_xlfn.XLOOKUP(Ordini!E551,'Prodotti drop'!$A$2:A10116,'Prodotti drop'!$B$2:B10116)
)*Ordini!F551</f>
        <v>20.7</v>
      </c>
      <c r="L551" s="60" cm="1">
        <f t="array" ref="L551">_xlfn.LET(
_xlpm.stato,TRIM(Ordini!$M551),
_xlpm.sku,TRIM(Ordini!$E551),
_xlpm.paese,TRIM(Ordini!$C551),
_xlpm.andata,_xlfn.XLOOKUP(1,
    (TRIM(Logistica!$A$2:A10538)=_xlpm.sku)*
    (TRIM( Logistica!$B$2:B10538)=_xlpm.paese),
  Logistica!$C$2:C10538,
    0),
_xlpm.reso,_xlfn.XLOOKUP(1,
    (TRIM(Logistica!$A$2:A10538)=_xlpm.sku)*
    (TRIM(Logistica!$B$2:B10538)=_xlpm.paese),
    Logistica!$D$2:D10538,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4.43</v>
      </c>
      <c r="M551" s="58" t="s">
        <v>34</v>
      </c>
      <c r="N551" s="58"/>
      <c r="O551" s="61">
        <f>Ordini!$K551+Ordini!$J551+Ordini!$L551</f>
        <v>31.72</v>
      </c>
      <c r="P551" s="61">
        <f>Ordini!$I551-Ordini!$O551</f>
        <v>3.2800000000000011</v>
      </c>
      <c r="Q551" s="58" t="str">
        <f>IF(Ordini!$P551&lt;0,"DA EVITARE","OK")</f>
        <v>OK</v>
      </c>
      <c r="R551" s="58"/>
    </row>
    <row r="552" spans="1:18" s="62" customFormat="1" x14ac:dyDescent="0.25">
      <c r="A552" s="48">
        <v>46188</v>
      </c>
      <c r="B552" s="49" t="s">
        <v>109</v>
      </c>
      <c r="C552" s="49" t="s">
        <v>20</v>
      </c>
      <c r="D552" s="49" t="s">
        <v>762</v>
      </c>
      <c r="E552" s="49" t="s">
        <v>410</v>
      </c>
      <c r="F552" s="50">
        <v>1</v>
      </c>
      <c r="G552" s="52">
        <v>149.99</v>
      </c>
      <c r="H552" s="51">
        <v>0</v>
      </c>
      <c r="I552" s="52">
        <f>Ordini!$G552/(1+Ordini!$H552)</f>
        <v>149.99</v>
      </c>
      <c r="J552" s="52">
        <v>28.27</v>
      </c>
      <c r="K552" s="52" cm="1">
        <f t="array" ref="K552">IFERROR(
_xlfn.XLOOKUP(Ordini!E552,'Prodotti Magazzino'!$A$2:A10118,'Prodotti Magazzino'!$B$2:B10118),
_xlfn.XLOOKUP(Ordini!E552,'Prodotti drop'!$A$2:A10117,'Prodotti drop'!$B$2:B10117)
)*Ordini!F552</f>
        <v>64.8</v>
      </c>
      <c r="L552" s="52" cm="1">
        <f t="array" ref="L552">_xlfn.LET(
_xlpm.stato,TRIM(Ordini!$M552),
_xlpm.sku,TRIM(Ordini!$E552),
_xlpm.paese,TRIM(Ordini!$C552),
_xlpm.andata,_xlfn.XLOOKUP(1,
    (TRIM(Logistica!$A$2:A10539)=_xlpm.sku)*
    (TRIM( Logistica!$B$2:B10539)=_xlpm.paese),
  Logistica!$C$2:C10539,
    0),
_xlpm.reso,_xlfn.XLOOKUP(1,
    (TRIM(Logistica!$A$2:A10539)=_xlpm.sku)*
    (TRIM(Logistica!$B$2:B10539)=_xlpm.paese),
    Logistica!$D$2:D10539,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52" s="50" t="s">
        <v>34</v>
      </c>
      <c r="N552" s="50"/>
      <c r="O552" s="53">
        <f>Ordini!$K552+Ordini!$J552+Ordini!$L552</f>
        <v>99.135573770491803</v>
      </c>
      <c r="P552" s="53">
        <f>Ordini!$I552-Ordini!$O552</f>
        <v>50.854426229508206</v>
      </c>
      <c r="Q552" s="50" t="str">
        <f>IF(Ordini!$P552&lt;0,"DA EVITARE","OK")</f>
        <v>OK</v>
      </c>
      <c r="R552" s="50"/>
    </row>
    <row r="553" spans="1:18" s="55" customFormat="1" x14ac:dyDescent="0.25">
      <c r="A553" s="56">
        <v>46189</v>
      </c>
      <c r="B553" s="57" t="s">
        <v>110</v>
      </c>
      <c r="C553" s="57" t="s">
        <v>20</v>
      </c>
      <c r="D553" s="57" t="s">
        <v>763</v>
      </c>
      <c r="E553" s="57" t="s">
        <v>410</v>
      </c>
      <c r="F553" s="58">
        <v>1</v>
      </c>
      <c r="G553" s="60">
        <v>123.18</v>
      </c>
      <c r="H553" s="59">
        <v>0</v>
      </c>
      <c r="I553" s="60">
        <f>Ordini!$G553/(1+Ordini!$H553)</f>
        <v>123.18</v>
      </c>
      <c r="J553" s="60">
        <v>0</v>
      </c>
      <c r="K553" s="60" cm="1">
        <f t="array" ref="K553">IFERROR(
_xlfn.XLOOKUP(Ordini!E553,'Prodotti Magazzino'!$A$2:A10119,'Prodotti Magazzino'!$B$2:B10119),
_xlfn.XLOOKUP(Ordini!E553,'Prodotti drop'!$A$2:A10118,'Prodotti drop'!$B$2:B10118)
)*Ordini!F553</f>
        <v>64.8</v>
      </c>
      <c r="L553" s="60" cm="1">
        <f t="array" ref="L553">_xlfn.LET(
_xlpm.stato,TRIM(Ordini!$M553),
_xlpm.sku,TRIM(Ordini!$E553),
_xlpm.paese,TRIM(Ordini!$C553),
_xlpm.andata,_xlfn.XLOOKUP(1,
    (TRIM(Logistica!$A$2:A10540)=_xlpm.sku)*
    (TRIM( Logistica!$B$2:B10540)=_xlpm.paese),
  Logistica!$C$2:C10540,
    0),
_xlpm.reso,_xlfn.XLOOKUP(1,
    (TRIM(Logistica!$A$2:A10540)=_xlpm.sku)*
    (TRIM(Logistica!$B$2:B10540)=_xlpm.paese),
    Logistica!$D$2:D10540,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53" s="58" t="s">
        <v>34</v>
      </c>
      <c r="N553" s="58"/>
      <c r="O553" s="61">
        <f>Ordini!$K553+Ordini!$J553+Ordini!$L553</f>
        <v>70.865573770491807</v>
      </c>
      <c r="P553" s="61">
        <f>Ordini!$I553-Ordini!$O553</f>
        <v>52.3144262295082</v>
      </c>
      <c r="Q553" s="58" t="str">
        <f>IF(Ordini!$P553&lt;0,"DA EVITARE","OK")</f>
        <v>OK</v>
      </c>
      <c r="R553" s="58"/>
    </row>
    <row r="554" spans="1:18" s="62" customFormat="1" x14ac:dyDescent="0.25">
      <c r="A554" s="48">
        <v>46189</v>
      </c>
      <c r="B554" s="49" t="s">
        <v>109</v>
      </c>
      <c r="C554" s="49" t="s">
        <v>20</v>
      </c>
      <c r="D554" s="49" t="s">
        <v>764</v>
      </c>
      <c r="E554" s="49" t="s">
        <v>60</v>
      </c>
      <c r="F554" s="50">
        <v>1</v>
      </c>
      <c r="G554" s="52">
        <v>87.99</v>
      </c>
      <c r="H554" s="51">
        <v>0</v>
      </c>
      <c r="I554" s="52">
        <f>Ordini!$G554/(1+Ordini!$H554)</f>
        <v>87.99</v>
      </c>
      <c r="J554" s="52">
        <v>14.38</v>
      </c>
      <c r="K554" s="52" cm="1">
        <f t="array" ref="K554">IFERROR(
_xlfn.XLOOKUP(Ordini!E554,'Prodotti Magazzino'!$A$2:A10120,'Prodotti Magazzino'!$B$2:B10120),
_xlfn.XLOOKUP(Ordini!E554,'Prodotti drop'!$A$2:A10119,'Prodotti drop'!$B$2:B10119)
)*Ordini!F554</f>
        <v>39.76</v>
      </c>
      <c r="L554" s="52" cm="1">
        <f t="array" ref="L554">_xlfn.LET(
_xlpm.stato,TRIM(Ordini!$M554),
_xlpm.sku,TRIM(Ordini!$E554),
_xlpm.paese,TRIM(Ordini!$C554),
_xlpm.andata,_xlfn.XLOOKUP(1,
    (TRIM(Logistica!$A$2:A10541)=_xlpm.sku)*
    (TRIM( Logistica!$B$2:B10541)=_xlpm.paese),
  Logistica!$C$2:C10541,
    0),
_xlpm.reso,_xlfn.XLOOKUP(1,
    (TRIM(Logistica!$A$2:A10541)=_xlpm.sku)*
    (TRIM(Logistica!$B$2:B10541)=_xlpm.paese),
    Logistica!$D$2:D10541,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54" s="50" t="s">
        <v>34</v>
      </c>
      <c r="N554" s="50"/>
      <c r="O554" s="53">
        <f>Ordini!$K554+Ordini!$J554+Ordini!$L554</f>
        <v>62.15</v>
      </c>
      <c r="P554" s="53">
        <f>Ordini!$I554-Ordini!$O554</f>
        <v>25.839999999999996</v>
      </c>
      <c r="Q554" s="50" t="str">
        <f>IF(Ordini!$P554&lt;0,"DA EVITARE","OK")</f>
        <v>OK</v>
      </c>
      <c r="R554" s="50"/>
    </row>
    <row r="555" spans="1:18" s="55" customFormat="1" x14ac:dyDescent="0.25">
      <c r="A555" s="56">
        <v>46189</v>
      </c>
      <c r="B555" s="57" t="s">
        <v>110</v>
      </c>
      <c r="C555" s="57" t="s">
        <v>20</v>
      </c>
      <c r="D555" s="57" t="s">
        <v>765</v>
      </c>
      <c r="E555" s="57" t="s">
        <v>50</v>
      </c>
      <c r="F555" s="58">
        <v>1</v>
      </c>
      <c r="G555" s="60">
        <v>15.73</v>
      </c>
      <c r="H555" s="59">
        <v>0</v>
      </c>
      <c r="I555" s="60">
        <f>Ordini!$G555/(1+Ordini!$H555)</f>
        <v>15.73</v>
      </c>
      <c r="J555" s="60">
        <v>0</v>
      </c>
      <c r="K555" s="60" cm="1">
        <f t="array" ref="K555">IFERROR(
_xlfn.XLOOKUP(Ordini!E555,'Prodotti Magazzino'!$A$2:A10121,'Prodotti Magazzino'!$B$2:B10121),
_xlfn.XLOOKUP(Ordini!E555,'Prodotti drop'!$A$2:A10120,'Prodotti drop'!$B$2:B10120)
)*Ordini!F555</f>
        <v>6.41</v>
      </c>
      <c r="L555" s="60" cm="1">
        <f t="array" ref="L555">_xlfn.LET(
_xlpm.stato,TRIM(Ordini!$M555),
_xlpm.sku,TRIM(Ordini!$E555),
_xlpm.paese,TRIM(Ordini!$C555),
_xlpm.andata,_xlfn.XLOOKUP(1,
    (TRIM(Logistica!$A$2:A10542)=_xlpm.sku)*
    (TRIM( Logistica!$B$2:B10542)=_xlpm.paese),
  Logistica!$C$2:C10542,
    0),
_xlpm.reso,_xlfn.XLOOKUP(1,
    (TRIM(Logistica!$A$2:A10542)=_xlpm.sku)*
    (TRIM(Logistica!$B$2:B10542)=_xlpm.paese),
    Logistica!$D$2:D10542,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55" s="58" t="s">
        <v>34</v>
      </c>
      <c r="N555" s="58"/>
      <c r="O555" s="61">
        <f>Ordini!$K555+Ordini!$J555+Ordini!$L555</f>
        <v>11.18</v>
      </c>
      <c r="P555" s="61">
        <f>Ordini!$I555-Ordini!$O555</f>
        <v>4.5500000000000007</v>
      </c>
      <c r="Q555" s="58" t="str">
        <f>IF(Ordini!$P555&lt;0,"DA EVITARE","OK")</f>
        <v>OK</v>
      </c>
      <c r="R555" s="58"/>
    </row>
    <row r="556" spans="1:18" s="62" customFormat="1" x14ac:dyDescent="0.25">
      <c r="A556" s="48">
        <v>46189</v>
      </c>
      <c r="B556" s="49" t="s">
        <v>110</v>
      </c>
      <c r="C556" s="49" t="s">
        <v>20</v>
      </c>
      <c r="D556" s="49" t="s">
        <v>766</v>
      </c>
      <c r="E556" s="49" t="s">
        <v>50</v>
      </c>
      <c r="F556" s="50">
        <v>1</v>
      </c>
      <c r="G556" s="52">
        <v>15.73</v>
      </c>
      <c r="H556" s="51">
        <v>0</v>
      </c>
      <c r="I556" s="52">
        <f>Ordini!$G556/(1+Ordini!$H556)</f>
        <v>15.73</v>
      </c>
      <c r="J556" s="52">
        <v>0</v>
      </c>
      <c r="K556" s="52" cm="1">
        <f t="array" ref="K556">IFERROR(
_xlfn.XLOOKUP(Ordini!E556,'Prodotti Magazzino'!$A$2:A10122,'Prodotti Magazzino'!$B$2:B10122),
_xlfn.XLOOKUP(Ordini!E556,'Prodotti drop'!$A$2:A10121,'Prodotti drop'!$B$2:B10121)
)*Ordini!F556</f>
        <v>6.41</v>
      </c>
      <c r="L556" s="52" cm="1">
        <f t="array" ref="L556">_xlfn.LET(
_xlpm.stato,TRIM(Ordini!$M556),
_xlpm.sku,TRIM(Ordini!$E556),
_xlpm.paese,TRIM(Ordini!$C556),
_xlpm.andata,_xlfn.XLOOKUP(1,
    (TRIM(Logistica!$A$2:A10543)=_xlpm.sku)*
    (TRIM( Logistica!$B$2:B10543)=_xlpm.paese),
  Logistica!$C$2:C10543,
    0),
_xlpm.reso,_xlfn.XLOOKUP(1,
    (TRIM(Logistica!$A$2:A10543)=_xlpm.sku)*
    (TRIM(Logistica!$B$2:B10543)=_xlpm.paese),
    Logistica!$D$2:D10543,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56" s="50" t="s">
        <v>34</v>
      </c>
      <c r="N556" s="50"/>
      <c r="O556" s="53">
        <f>Ordini!$K556+Ordini!$J556+Ordini!$L556</f>
        <v>11.18</v>
      </c>
      <c r="P556" s="53">
        <f>Ordini!$I556-Ordini!$O556</f>
        <v>4.5500000000000007</v>
      </c>
      <c r="Q556" s="50" t="str">
        <f>IF(Ordini!$P556&lt;0,"DA EVITARE","OK")</f>
        <v>OK</v>
      </c>
      <c r="R556" s="50"/>
    </row>
    <row r="557" spans="1:18" s="55" customFormat="1" x14ac:dyDescent="0.25">
      <c r="A557" s="56">
        <v>46190</v>
      </c>
      <c r="B557" s="57" t="s">
        <v>109</v>
      </c>
      <c r="C557" s="57" t="s">
        <v>20</v>
      </c>
      <c r="D557" s="57" t="s">
        <v>767</v>
      </c>
      <c r="E557" s="57" t="s">
        <v>796</v>
      </c>
      <c r="F557" s="58">
        <v>2</v>
      </c>
      <c r="G557" s="60">
        <v>31.88</v>
      </c>
      <c r="H557" s="59">
        <v>0</v>
      </c>
      <c r="I557" s="60">
        <f>Ordini!$G557/(1+Ordini!$H557)</f>
        <v>31.88</v>
      </c>
      <c r="J557" s="60">
        <v>5.21</v>
      </c>
      <c r="K557" s="60" cm="1">
        <f t="array" ref="K557">IFERROR(
_xlfn.XLOOKUP(Ordini!E557,'Prodotti Magazzino'!$A$2:A10123,'Prodotti Magazzino'!$B$2:B10123),
_xlfn.XLOOKUP(Ordini!E557,'Prodotti drop'!$A$2:A10122,'Prodotti drop'!$B$2:B10122)
)*Ordini!F557</f>
        <v>8.7352000000000007</v>
      </c>
      <c r="L557" s="60" cm="1">
        <f t="array" ref="L557">_xlfn.LET(
_xlpm.stato,TRIM(Ordini!$M557),
_xlpm.sku,TRIM(Ordini!$E557),
_xlpm.paese,TRIM(Ordini!$C557),
_xlpm.andata,_xlfn.XLOOKUP(1,
    (TRIM(Logistica!$A$2:A10544)=_xlpm.sku)*
    (TRIM( Logistica!$B$2:B10544)=_xlpm.paese),
  Logistica!$C$2:C10544,
    0),
_xlpm.reso,_xlfn.XLOOKUP(1,
    (TRIM(Logistica!$A$2:A10544)=_xlpm.sku)*
    (TRIM(Logistica!$B$2:B10544)=_xlpm.paese),
    Logistica!$D$2:D10544,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57" s="58" t="s">
        <v>34</v>
      </c>
      <c r="N557" s="58"/>
      <c r="O557" s="61">
        <f>Ordini!$K557+Ordini!$J557+Ordini!$L557</f>
        <v>18.305199999999999</v>
      </c>
      <c r="P557" s="61">
        <f>Ordini!$I557-Ordini!$O557</f>
        <v>13.5748</v>
      </c>
      <c r="Q557" s="58" t="str">
        <f>IF(Ordini!$P557&lt;0,"DA EVITARE","OK")</f>
        <v>OK</v>
      </c>
      <c r="R557" s="58"/>
    </row>
    <row r="558" spans="1:18" s="62" customFormat="1" x14ac:dyDescent="0.25">
      <c r="A558" s="48">
        <v>46190</v>
      </c>
      <c r="B558" s="49" t="s">
        <v>110</v>
      </c>
      <c r="C558" s="49" t="s">
        <v>20</v>
      </c>
      <c r="D558" s="49" t="s">
        <v>768</v>
      </c>
      <c r="E558" s="49" t="s">
        <v>736</v>
      </c>
      <c r="F558" s="50">
        <v>1</v>
      </c>
      <c r="G558" s="52">
        <v>85.84</v>
      </c>
      <c r="H558" s="51">
        <v>0</v>
      </c>
      <c r="I558" s="52">
        <f>Ordini!$G558/(1+Ordini!$H558)</f>
        <v>85.84</v>
      </c>
      <c r="J558" s="52">
        <v>0</v>
      </c>
      <c r="K558" s="52" cm="1">
        <f t="array" ref="K558">IFERROR(
_xlfn.XLOOKUP(Ordini!E558,'Prodotti Magazzino'!$A$2:A10124,'Prodotti Magazzino'!$B$2:B10124),
_xlfn.XLOOKUP(Ordini!E558,'Prodotti drop'!$A$2:A10123,'Prodotti drop'!$B$2:B10123)
)*Ordini!F558</f>
        <v>44</v>
      </c>
      <c r="L558" s="52" cm="1">
        <f t="array" ref="L558">_xlfn.LET(
_xlpm.stato,TRIM(Ordini!$M558),
_xlpm.sku,TRIM(Ordini!$E558),
_xlpm.paese,TRIM(Ordini!$C558),
_xlpm.andata,_xlfn.XLOOKUP(1,
    (TRIM(Logistica!$A$2:A10545)=_xlpm.sku)*
    (TRIM( Logistica!$B$2:B10545)=_xlpm.paese),
  Logistica!$C$2:C10545,
    0),
_xlpm.reso,_xlfn.XLOOKUP(1,
    (TRIM(Logistica!$A$2:A10545)=_xlpm.sku)*
    (TRIM(Logistica!$B$2:B10545)=_xlpm.paese),
    Logistica!$D$2:D10545,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58" s="50" t="s">
        <v>34</v>
      </c>
      <c r="N558" s="50"/>
      <c r="O558" s="53">
        <f>Ordini!$K558+Ordini!$J558+Ordini!$L558</f>
        <v>50.065573770491802</v>
      </c>
      <c r="P558" s="53">
        <f>Ordini!$I558-Ordini!$O558</f>
        <v>35.774426229508201</v>
      </c>
      <c r="Q558" s="50" t="str">
        <f>IF(Ordini!$P558&lt;0,"DA EVITARE","OK")</f>
        <v>OK</v>
      </c>
      <c r="R558" s="50"/>
    </row>
    <row r="559" spans="1:18" s="62" customFormat="1" x14ac:dyDescent="0.25">
      <c r="A559" s="48">
        <v>46190</v>
      </c>
      <c r="B559" s="49" t="s">
        <v>111</v>
      </c>
      <c r="C559" s="49" t="s">
        <v>20</v>
      </c>
      <c r="D559" s="49" t="s">
        <v>801</v>
      </c>
      <c r="E559" s="49" t="s">
        <v>802</v>
      </c>
      <c r="F559" s="50">
        <v>1</v>
      </c>
      <c r="G559" s="52">
        <v>54</v>
      </c>
      <c r="H559" s="51">
        <v>0</v>
      </c>
      <c r="I559" s="52">
        <f>Ordini!$G559/(1+Ordini!$H559)</f>
        <v>54</v>
      </c>
      <c r="J559" s="52">
        <f>7.29+1.08</f>
        <v>8.370000000000001</v>
      </c>
      <c r="K559" s="52" cm="1">
        <f t="array" ref="K559">IFERROR(
_xlfn.XLOOKUP(Ordini!E559,'Prodotti Magazzino'!$A$2:A10125,'Prodotti Magazzino'!$B$2:B10125),
_xlfn.XLOOKUP(Ordini!E559,'Prodotti drop'!$A$2:A10124,'Prodotti drop'!$B$2:B10124)
)*Ordini!F559</f>
        <v>36.856200000000001</v>
      </c>
      <c r="L559" s="52" cm="1">
        <f t="array" ref="L559">_xlfn.LET(
_xlpm.stato,TRIM(Ordini!$M559),
_xlpm.sku,TRIM(Ordini!$E559),
_xlpm.paese,TRIM(Ordini!$C559),
_xlpm.andata,_xlfn.XLOOKUP(1,
    (TRIM(Logistica!$A$2:A10546)=_xlpm.sku)*
    (TRIM( Logistica!$B$2:B10546)=_xlpm.paese),
  Logistica!$C$2:C10546,
    0),
_xlpm.reso,_xlfn.XLOOKUP(1,
    (TRIM(Logistica!$A$2:A10546)=_xlpm.sku)*
    (TRIM(Logistica!$B$2:B10546)=_xlpm.paese),
    Logistica!$D$2:D10546,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5.87</v>
      </c>
      <c r="M559" s="50" t="s">
        <v>34</v>
      </c>
      <c r="N559" s="50"/>
      <c r="O559" s="53">
        <f>Ordini!$K559+Ordini!$J559+Ordini!$L559</f>
        <v>51.096200000000003</v>
      </c>
      <c r="P559" s="53">
        <f>Ordini!$I559-Ordini!$O559</f>
        <v>2.9037999999999968</v>
      </c>
      <c r="Q559" s="50" t="str">
        <f>IF(Ordini!$P559&lt;0,"DA EVITARE","OK")</f>
        <v>OK</v>
      </c>
      <c r="R559" s="50"/>
    </row>
    <row r="560" spans="1:18" s="55" customFormat="1" x14ac:dyDescent="0.25">
      <c r="A560" s="56">
        <v>46191</v>
      </c>
      <c r="B560" s="57" t="s">
        <v>110</v>
      </c>
      <c r="C560" s="57" t="s">
        <v>20</v>
      </c>
      <c r="D560" s="57" t="s">
        <v>769</v>
      </c>
      <c r="E560" s="57" t="s">
        <v>394</v>
      </c>
      <c r="F560" s="58">
        <v>1</v>
      </c>
      <c r="G560" s="60">
        <v>16.37</v>
      </c>
      <c r="H560" s="59">
        <v>0</v>
      </c>
      <c r="I560" s="60">
        <f>Ordini!$G560/(1+Ordini!$H560)</f>
        <v>16.37</v>
      </c>
      <c r="J560" s="60">
        <v>0</v>
      </c>
      <c r="K560" s="60" cm="1">
        <f t="array" ref="K560">IFERROR(
_xlfn.XLOOKUP(Ordini!E560,'Prodotti Magazzino'!$A$2:A10125,'Prodotti Magazzino'!$B$2:B10125),
_xlfn.XLOOKUP(Ordini!E560,'Prodotti drop'!$A$2:A10124,'Prodotti drop'!$B$2:B10124)
)*Ordini!F560</f>
        <v>10.918999999999999</v>
      </c>
      <c r="L560" s="60" cm="1">
        <f t="array" ref="L560">_xlfn.LET(
_xlpm.stato,TRIM(Ordini!$M560),
_xlpm.sku,TRIM(Ordini!$E560),
_xlpm.paese,TRIM(Ordini!$C560),
_xlpm.andata,_xlfn.XLOOKUP(1,
    (TRIM(Logistica!$A$2:A10546)=_xlpm.sku)*
    (TRIM( Logistica!$B$2:B10546)=_xlpm.paese),
  Logistica!$C$2:C10546,
    0),
_xlpm.reso,_xlfn.XLOOKUP(1,
    (TRIM(Logistica!$A$2:A10546)=_xlpm.sku)*
    (TRIM(Logistica!$B$2:B10546)=_xlpm.paese),
    Logistica!$D$2:D10546,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60" s="58" t="s">
        <v>34</v>
      </c>
      <c r="N560" s="58"/>
      <c r="O560" s="61">
        <f>Ordini!$K560+Ordini!$J560+Ordini!$L560</f>
        <v>15.279</v>
      </c>
      <c r="P560" s="61">
        <f>Ordini!$I560-Ordini!$O560</f>
        <v>1.0910000000000011</v>
      </c>
      <c r="Q560" s="58" t="str">
        <f>IF(Ordini!$P560&lt;0,"DA EVITARE","OK")</f>
        <v>OK</v>
      </c>
      <c r="R560" s="58"/>
    </row>
    <row r="561" spans="1:18" s="62" customFormat="1" x14ac:dyDescent="0.25">
      <c r="A561" s="48">
        <v>46191</v>
      </c>
      <c r="B561" s="49" t="s">
        <v>109</v>
      </c>
      <c r="C561" s="49" t="s">
        <v>20</v>
      </c>
      <c r="D561" s="49" t="s">
        <v>770</v>
      </c>
      <c r="E561" s="49" t="s">
        <v>60</v>
      </c>
      <c r="F561" s="50">
        <v>1</v>
      </c>
      <c r="G561" s="52">
        <v>87.99</v>
      </c>
      <c r="H561" s="51">
        <v>0</v>
      </c>
      <c r="I561" s="52">
        <f>Ordini!$G561/(1+Ordini!$H561)</f>
        <v>87.99</v>
      </c>
      <c r="J561" s="52">
        <v>14.38</v>
      </c>
      <c r="K561" s="52" cm="1">
        <f t="array" ref="K561">IFERROR(
_xlfn.XLOOKUP(Ordini!E561,'Prodotti Magazzino'!$A$2:A10126,'Prodotti Magazzino'!$B$2:B10126),
_xlfn.XLOOKUP(Ordini!E561,'Prodotti drop'!$A$2:A10125,'Prodotti drop'!$B$2:B10125)
)*Ordini!F561</f>
        <v>39.76</v>
      </c>
      <c r="L561" s="52" cm="1">
        <f t="array" ref="L561">_xlfn.LET(
_xlpm.stato,TRIM(Ordini!$M561),
_xlpm.sku,TRIM(Ordini!$E561),
_xlpm.paese,TRIM(Ordini!$C561),
_xlpm.andata,_xlfn.XLOOKUP(1,
    (TRIM(Logistica!$A$2:A10547)=_xlpm.sku)*
    (TRIM( Logistica!$B$2:B10547)=_xlpm.paese),
  Logistica!$C$2:C10547,
    0),
_xlpm.reso,_xlfn.XLOOKUP(1,
    (TRIM(Logistica!$A$2:A10547)=_xlpm.sku)*
    (TRIM(Logistica!$B$2:B10547)=_xlpm.paese),
    Logistica!$D$2:D10547,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61" s="50" t="s">
        <v>34</v>
      </c>
      <c r="N561" s="50"/>
      <c r="O561" s="53">
        <f>Ordini!$K561+Ordini!$J561+Ordini!$L561</f>
        <v>62.15</v>
      </c>
      <c r="P561" s="53">
        <f>Ordini!$I561-Ordini!$O561</f>
        <v>25.839999999999996</v>
      </c>
      <c r="Q561" s="50" t="str">
        <f>IF(Ordini!$P561&lt;0,"DA EVITARE","OK")</f>
        <v>OK</v>
      </c>
      <c r="R561" s="50"/>
    </row>
    <row r="562" spans="1:18" s="55" customFormat="1" x14ac:dyDescent="0.25">
      <c r="A562" s="56">
        <v>46191</v>
      </c>
      <c r="B562" s="57" t="s">
        <v>110</v>
      </c>
      <c r="C562" s="57" t="s">
        <v>20</v>
      </c>
      <c r="D562" s="57" t="s">
        <v>771</v>
      </c>
      <c r="E562" s="57" t="s">
        <v>347</v>
      </c>
      <c r="F562" s="58">
        <v>1</v>
      </c>
      <c r="G562" s="60">
        <v>12.98</v>
      </c>
      <c r="H562" s="59">
        <v>0</v>
      </c>
      <c r="I562" s="60">
        <f>Ordini!$G562/(1+Ordini!$H562)</f>
        <v>12.98</v>
      </c>
      <c r="J562" s="60">
        <v>0</v>
      </c>
      <c r="K562" s="60">
        <v>6</v>
      </c>
      <c r="L562" s="60" cm="1">
        <f t="array" ref="L562">_xlfn.LET(
_xlpm.stato,TRIM(Ordini!$M562),
_xlpm.sku,TRIM(Ordini!$E562),
_xlpm.paese,TRIM(Ordini!$C562),
_xlpm.andata,_xlfn.XLOOKUP(1,
    (TRIM(Logistica!$A$2:A10548)=_xlpm.sku)*
    (TRIM( Logistica!$B$2:B10548)=_xlpm.paese),
  Logistica!$C$2:C10548,
    0),
_xlpm.reso,_xlfn.XLOOKUP(1,
    (TRIM(Logistica!$A$2:A10548)=_xlpm.sku)*
    (TRIM(Logistica!$B$2:B10548)=_xlpm.paese),
    Logistica!$D$2:D10548,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62" s="58" t="s">
        <v>34</v>
      </c>
      <c r="N562" s="58"/>
      <c r="O562" s="61">
        <f>Ordini!$K562+Ordini!$J562+Ordini!$L562</f>
        <v>10.77</v>
      </c>
      <c r="P562" s="61">
        <f>Ordini!$I562-Ordini!$O562</f>
        <v>2.2100000000000009</v>
      </c>
      <c r="Q562" s="58" t="str">
        <f>IF(Ordini!$P562&lt;0,"DA EVITARE","OK")</f>
        <v>OK</v>
      </c>
      <c r="R562" s="58"/>
    </row>
    <row r="563" spans="1:18" s="62" customFormat="1" x14ac:dyDescent="0.25">
      <c r="A563" s="48">
        <v>46191</v>
      </c>
      <c r="B563" s="49" t="s">
        <v>110</v>
      </c>
      <c r="C563" s="49" t="s">
        <v>20</v>
      </c>
      <c r="D563" s="49" t="s">
        <v>772</v>
      </c>
      <c r="E563" s="49" t="s">
        <v>394</v>
      </c>
      <c r="F563" s="50">
        <v>1</v>
      </c>
      <c r="G563" s="52">
        <v>16.149999999999999</v>
      </c>
      <c r="H563" s="51">
        <v>0</v>
      </c>
      <c r="I563" s="52">
        <f>Ordini!$G563/(1+Ordini!$H563)</f>
        <v>16.149999999999999</v>
      </c>
      <c r="J563" s="52">
        <v>0</v>
      </c>
      <c r="K563" s="52" cm="1">
        <f t="array" ref="K563">IFERROR(
_xlfn.XLOOKUP(Ordini!E563,'Prodotti Magazzino'!$A$2:A10128,'Prodotti Magazzino'!$B$2:B10128),
_xlfn.XLOOKUP(Ordini!E563,'Prodotti drop'!$A$2:A10127,'Prodotti drop'!$B$2:B10127)
)*Ordini!F563</f>
        <v>10.918999999999999</v>
      </c>
      <c r="L563" s="52" cm="1">
        <f t="array" ref="L563">_xlfn.LET(
_xlpm.stato,TRIM(Ordini!$M563),
_xlpm.sku,TRIM(Ordini!$E563),
_xlpm.paese,TRIM(Ordini!$C563),
_xlpm.andata,_xlfn.XLOOKUP(1,
    (TRIM(Logistica!$A$2:A10549)=_xlpm.sku)*
    (TRIM( Logistica!$B$2:B10549)=_xlpm.paese),
  Logistica!$C$2:C10549,
    0),
_xlpm.reso,_xlfn.XLOOKUP(1,
    (TRIM(Logistica!$A$2:A10549)=_xlpm.sku)*
    (TRIM(Logistica!$B$2:B10549)=_xlpm.paese),
    Logistica!$D$2:D10549,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63" s="50" t="s">
        <v>34</v>
      </c>
      <c r="N563" s="50"/>
      <c r="O563" s="53">
        <f>Ordini!$K563+Ordini!$J563+Ordini!$L563</f>
        <v>15.279</v>
      </c>
      <c r="P563" s="53">
        <f>Ordini!$I563-Ordini!$O563</f>
        <v>0.87099999999999866</v>
      </c>
      <c r="Q563" s="50" t="str">
        <f>IF(Ordini!$P563&lt;0,"DA EVITARE","OK")</f>
        <v>OK</v>
      </c>
      <c r="R563" s="50"/>
    </row>
    <row r="564" spans="1:18" s="62" customFormat="1" x14ac:dyDescent="0.25">
      <c r="A564" s="48">
        <v>46192</v>
      </c>
      <c r="B564" s="49" t="s">
        <v>363</v>
      </c>
      <c r="C564" s="49" t="s">
        <v>20</v>
      </c>
      <c r="D564" s="49" t="s">
        <v>809</v>
      </c>
      <c r="E564" s="49" t="s">
        <v>60</v>
      </c>
      <c r="F564" s="50">
        <v>1</v>
      </c>
      <c r="G564" s="52">
        <v>87.99</v>
      </c>
      <c r="H564" s="51">
        <v>0</v>
      </c>
      <c r="I564" s="52">
        <f>Ordini!$G564/(1+Ordini!$H564)</f>
        <v>87.99</v>
      </c>
      <c r="J564" s="52">
        <v>10.56</v>
      </c>
      <c r="K564" s="52" cm="1">
        <f t="array" ref="K564">IFERROR(
_xlfn.XLOOKUP(Ordini!E564,'Prodotti Magazzino'!$A$2:A10129,'Prodotti Magazzino'!$B$2:B10129),
_xlfn.XLOOKUP(Ordini!E564,'Prodotti drop'!$A$2:A10128,'Prodotti drop'!$B$2:B10128)
)*Ordini!F564</f>
        <v>39.76</v>
      </c>
      <c r="L564" s="52" cm="1">
        <f t="array" ref="L564">_xlfn.LET(
_xlpm.stato,TRIM(Ordini!$M564),
_xlpm.sku,TRIM(Ordini!$E564),
_xlpm.paese,TRIM(Ordini!$C564),
_xlpm.andata,_xlfn.XLOOKUP(1,
    (TRIM(Logistica!$A$2:A10550)=_xlpm.sku)*
    (TRIM( Logistica!$B$2:B10550)=_xlpm.paese),
  Logistica!$C$2:C10550,
    0),
_xlpm.reso,_xlfn.XLOOKUP(1,
    (TRIM(Logistica!$A$2:A10550)=_xlpm.sku)*
    (TRIM(Logistica!$B$2:B10550)=_xlpm.paese),
    Logistica!$D$2:D10550,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64" s="50" t="s">
        <v>34</v>
      </c>
      <c r="N564" s="50"/>
      <c r="O564" s="53">
        <f>Ordini!$K564+Ordini!$J564+Ordini!$L564</f>
        <v>58.33</v>
      </c>
      <c r="P564" s="53">
        <f>Ordini!$I564-Ordini!$O564</f>
        <v>29.659999999999997</v>
      </c>
      <c r="Q564" s="50" t="str">
        <f>IF(Ordini!$P564&lt;0,"DA EVITARE","OK")</f>
        <v>OK</v>
      </c>
      <c r="R564" s="50"/>
    </row>
    <row r="565" spans="1:18" s="55" customFormat="1" x14ac:dyDescent="0.25">
      <c r="A565" s="56">
        <v>46192</v>
      </c>
      <c r="B565" s="57" t="s">
        <v>109</v>
      </c>
      <c r="C565" s="57" t="s">
        <v>20</v>
      </c>
      <c r="D565" s="57" t="s">
        <v>773</v>
      </c>
      <c r="E565" s="57" t="s">
        <v>798</v>
      </c>
      <c r="F565" s="58">
        <v>1</v>
      </c>
      <c r="G565" s="60">
        <v>20.21</v>
      </c>
      <c r="H565" s="59">
        <v>0</v>
      </c>
      <c r="I565" s="60">
        <f>Ordini!$G565/(1+Ordini!$H565)</f>
        <v>20.21</v>
      </c>
      <c r="J565" s="60">
        <v>3.79</v>
      </c>
      <c r="K565" s="60" cm="1">
        <f t="array" ref="K565">IFERROR(
_xlfn.XLOOKUP(Ordini!E565,'Prodotti Magazzino'!$A$2:A10129,'Prodotti Magazzino'!$B$2:B10129),
_xlfn.XLOOKUP(Ordini!E565,'Prodotti drop'!$A$2:A10128,'Prodotti drop'!$B$2:B10128)
)*Ordini!F565</f>
        <v>7.7103999999999999</v>
      </c>
      <c r="L565" s="60" cm="1">
        <f t="array" ref="L565">_xlfn.LET(
_xlpm.stato,TRIM(Ordini!$M565),
_xlpm.sku,TRIM(Ordini!$E565),
_xlpm.paese,TRIM(Ordini!$C565),
_xlpm.andata,_xlfn.XLOOKUP(1,
    (TRIM(Logistica!$A$2:A10550)=_xlpm.sku)*
    (TRIM( Logistica!$B$2:B10550)=_xlpm.paese),
  Logistica!$C$2:C10550,
    0),
_xlpm.reso,_xlfn.XLOOKUP(1,
    (TRIM(Logistica!$A$2:A10550)=_xlpm.sku)*
    (TRIM(Logistica!$B$2:B10550)=_xlpm.paese),
    Logistica!$D$2:D10550,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65" s="58" t="s">
        <v>34</v>
      </c>
      <c r="N565" s="58"/>
      <c r="O565" s="61">
        <f>Ordini!$K565+Ordini!$J565+Ordini!$L565</f>
        <v>15.860399999999998</v>
      </c>
      <c r="P565" s="61">
        <f>Ordini!$I565-Ordini!$O565</f>
        <v>4.3496000000000024</v>
      </c>
      <c r="Q565" s="58" t="str">
        <f>IF(Ordini!$P565&lt;0,"DA EVITARE","OK")</f>
        <v>OK</v>
      </c>
      <c r="R565" s="58"/>
    </row>
    <row r="566" spans="1:18" s="62" customFormat="1" x14ac:dyDescent="0.25">
      <c r="A566" s="48">
        <v>46192</v>
      </c>
      <c r="B566" s="49" t="s">
        <v>109</v>
      </c>
      <c r="C566" s="49" t="s">
        <v>20</v>
      </c>
      <c r="D566" s="49" t="s">
        <v>774</v>
      </c>
      <c r="E566" s="49" t="s">
        <v>505</v>
      </c>
      <c r="F566" s="50">
        <v>1</v>
      </c>
      <c r="G566" s="52">
        <v>13.51</v>
      </c>
      <c r="H566" s="51">
        <v>0</v>
      </c>
      <c r="I566" s="52">
        <f>Ordini!$G566/(1+Ordini!$H566)</f>
        <v>13.51</v>
      </c>
      <c r="J566" s="52">
        <v>2.56</v>
      </c>
      <c r="K566" s="52" cm="1">
        <f t="array" ref="K566">IFERROR(
_xlfn.XLOOKUP(Ordini!E566,'Prodotti Magazzino'!$A$2:A10130,'Prodotti Magazzino'!$B$2:B10130),
_xlfn.XLOOKUP(Ordini!E566,'Prodotti drop'!$A$2:A10129,'Prodotti drop'!$B$2:B10129)
)*Ordini!F566</f>
        <v>2.4500000000000002</v>
      </c>
      <c r="L566" s="52" cm="1">
        <f t="array" ref="L566">_xlfn.LET(
_xlpm.stato,TRIM(Ordini!$M566),
_xlpm.sku,TRIM(Ordini!$E566),
_xlpm.paese,TRIM(Ordini!$C566),
_xlpm.andata,_xlfn.XLOOKUP(1,
    (TRIM(Logistica!$A$2:A10551)=_xlpm.sku)*
    (TRIM( Logistica!$B$2:B10551)=_xlpm.paese),
  Logistica!$C$2:C10551,
    0),
_xlpm.reso,_xlfn.XLOOKUP(1,
    (TRIM(Logistica!$A$2:A10551)=_xlpm.sku)*
    (TRIM(Logistica!$B$2:B10551)=_xlpm.paese),
    Logistica!$D$2:D10551,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66" s="50" t="s">
        <v>34</v>
      </c>
      <c r="N566" s="50"/>
      <c r="O566" s="53">
        <f>Ordini!$K566+Ordini!$J566+Ordini!$L566</f>
        <v>9.370000000000001</v>
      </c>
      <c r="P566" s="53">
        <f>Ordini!$I566-Ordini!$O566</f>
        <v>4.1399999999999988</v>
      </c>
      <c r="Q566" s="50" t="str">
        <f>IF(Ordini!$P566&lt;0,"DA EVITARE","OK")</f>
        <v>OK</v>
      </c>
      <c r="R566" s="50"/>
    </row>
    <row r="567" spans="1:18" s="62" customFormat="1" x14ac:dyDescent="0.25">
      <c r="A567" s="48">
        <v>46193</v>
      </c>
      <c r="B567" s="49" t="s">
        <v>109</v>
      </c>
      <c r="C567" s="49" t="s">
        <v>20</v>
      </c>
      <c r="D567" s="49" t="s">
        <v>775</v>
      </c>
      <c r="E567" s="49" t="s">
        <v>60</v>
      </c>
      <c r="F567" s="50">
        <v>1</v>
      </c>
      <c r="G567" s="52">
        <v>87.99</v>
      </c>
      <c r="H567" s="51">
        <v>0</v>
      </c>
      <c r="I567" s="52">
        <f>Ordini!$G567/(1+Ordini!$H567)</f>
        <v>87.99</v>
      </c>
      <c r="J567" s="52">
        <v>14.36</v>
      </c>
      <c r="K567" s="52" cm="1">
        <f t="array" ref="K567">IFERROR(
_xlfn.XLOOKUP(Ordini!E567,'Prodotti Magazzino'!$A$2:A10132,'Prodotti Magazzino'!$B$2:B10132),
_xlfn.XLOOKUP(Ordini!E567,'Prodotti drop'!$A$2:A10131,'Prodotti drop'!$B$2:B10131)
)*Ordini!F567</f>
        <v>39.76</v>
      </c>
      <c r="L567" s="52" cm="1">
        <f t="array" ref="L567">_xlfn.LET(
_xlpm.stato,TRIM(Ordini!$M567),
_xlpm.sku,TRIM(Ordini!$E567),
_xlpm.paese,TRIM(Ordini!$C567),
_xlpm.andata,_xlfn.XLOOKUP(1,
    (TRIM(Logistica!$A$2:A10553)=_xlpm.sku)*
    (TRIM( Logistica!$B$2:B10553)=_xlpm.paese),
  Logistica!$C$2:C10553,
    0),
_xlpm.reso,_xlfn.XLOOKUP(1,
    (TRIM(Logistica!$A$2:A10553)=_xlpm.sku)*
    (TRIM(Logistica!$B$2:B10553)=_xlpm.paese),
    Logistica!$D$2:D10553,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67" s="50" t="s">
        <v>34</v>
      </c>
      <c r="N567" s="50"/>
      <c r="O567" s="53">
        <f>Ordini!$K567+Ordini!$J567+Ordini!$L567</f>
        <v>62.129999999999995</v>
      </c>
      <c r="P567" s="53">
        <f>Ordini!$I567-Ordini!$O567</f>
        <v>25.86</v>
      </c>
      <c r="Q567" s="50" t="str">
        <f>IF(Ordini!$P567&lt;0,"DA EVITARE","OK")</f>
        <v>OK</v>
      </c>
      <c r="R567" s="50"/>
    </row>
    <row r="568" spans="1:18" s="55" customFormat="1" x14ac:dyDescent="0.25">
      <c r="A568" s="56">
        <v>46193</v>
      </c>
      <c r="B568" s="57" t="s">
        <v>109</v>
      </c>
      <c r="C568" s="57" t="s">
        <v>20</v>
      </c>
      <c r="D568" s="57" t="s">
        <v>776</v>
      </c>
      <c r="E568" s="57" t="s">
        <v>410</v>
      </c>
      <c r="F568" s="58">
        <v>1</v>
      </c>
      <c r="G568" s="60">
        <v>149.99</v>
      </c>
      <c r="H568" s="59">
        <v>0</v>
      </c>
      <c r="I568" s="60">
        <f>Ordini!$G568/(1+Ordini!$H568)</f>
        <v>149.99</v>
      </c>
      <c r="J568" s="60">
        <v>28.27</v>
      </c>
      <c r="K568" s="60" cm="1">
        <f t="array" ref="K568">IFERROR(
_xlfn.XLOOKUP(Ordini!E568,'Prodotti Magazzino'!$A$2:A10133,'Prodotti Magazzino'!$B$2:B10133),
_xlfn.XLOOKUP(Ordini!E568,'Prodotti drop'!$A$2:A10132,'Prodotti drop'!$B$2:B10132)
)*Ordini!F568</f>
        <v>64.8</v>
      </c>
      <c r="L568" s="60" cm="1">
        <f t="array" ref="L568">_xlfn.LET(
_xlpm.stato,TRIM(Ordini!$M568),
_xlpm.sku,TRIM(Ordini!$E568),
_xlpm.paese,TRIM(Ordini!$C568),
_xlpm.andata,_xlfn.XLOOKUP(1,
    (TRIM(Logistica!$A$2:A10554)=_xlpm.sku)*
    (TRIM( Logistica!$B$2:B10554)=_xlpm.paese),
  Logistica!$C$2:C10554,
    0),
_xlpm.reso,_xlfn.XLOOKUP(1,
    (TRIM(Logistica!$A$2:A10554)=_xlpm.sku)*
    (TRIM(Logistica!$B$2:B10554)=_xlpm.paese),
    Logistica!$D$2:D10554,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68" s="58" t="s">
        <v>34</v>
      </c>
      <c r="N568" s="58"/>
      <c r="O568" s="61">
        <f>Ordini!$K568+Ordini!$J568+Ordini!$L568</f>
        <v>99.135573770491803</v>
      </c>
      <c r="P568" s="61">
        <f>Ordini!$I568-Ordini!$O568</f>
        <v>50.854426229508206</v>
      </c>
      <c r="Q568" s="58" t="str">
        <f>IF(Ordini!$P568&lt;0,"DA EVITARE","OK")</f>
        <v>OK</v>
      </c>
      <c r="R568" s="58"/>
    </row>
    <row r="569" spans="1:18" s="62" customFormat="1" x14ac:dyDescent="0.25">
      <c r="A569" s="48">
        <v>46193</v>
      </c>
      <c r="B569" s="49" t="s">
        <v>109</v>
      </c>
      <c r="C569" s="49" t="s">
        <v>20</v>
      </c>
      <c r="D569" s="49" t="s">
        <v>777</v>
      </c>
      <c r="E569" s="49" t="s">
        <v>60</v>
      </c>
      <c r="F569" s="50">
        <v>1</v>
      </c>
      <c r="G569" s="52">
        <v>87.99</v>
      </c>
      <c r="H569" s="51">
        <v>0</v>
      </c>
      <c r="I569" s="52">
        <f>Ordini!$G569/(1+Ordini!$H569)</f>
        <v>87.99</v>
      </c>
      <c r="J569" s="52">
        <v>14.36</v>
      </c>
      <c r="K569" s="52" cm="1">
        <f t="array" ref="K569">IFERROR(
_xlfn.XLOOKUP(Ordini!E569,'Prodotti Magazzino'!$A$2:A10134,'Prodotti Magazzino'!$B$2:B10134),
_xlfn.XLOOKUP(Ordini!E569,'Prodotti drop'!$A$2:A10133,'Prodotti drop'!$B$2:B10133)
)*Ordini!F569</f>
        <v>39.76</v>
      </c>
      <c r="L569" s="52" cm="1">
        <f t="array" ref="L569">_xlfn.LET(
_xlpm.stato,TRIM(Ordini!$M569),
_xlpm.sku,TRIM(Ordini!$E569),
_xlpm.paese,TRIM(Ordini!$C569),
_xlpm.andata,_xlfn.XLOOKUP(1,
    (TRIM(Logistica!$A$2:A10555)=_xlpm.sku)*
    (TRIM( Logistica!$B$2:B10555)=_xlpm.paese),
  Logistica!$C$2:C10555,
    0),
_xlpm.reso,_xlfn.XLOOKUP(1,
    (TRIM(Logistica!$A$2:A10555)=_xlpm.sku)*
    (TRIM(Logistica!$B$2:B10555)=_xlpm.paese),
    Logistica!$D$2:D10555,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69" s="50" t="s">
        <v>34</v>
      </c>
      <c r="N569" s="50"/>
      <c r="O569" s="53">
        <f>Ordini!$K569+Ordini!$J569+Ordini!$L569</f>
        <v>62.129999999999995</v>
      </c>
      <c r="P569" s="53">
        <f>Ordini!$I569-Ordini!$O569</f>
        <v>25.86</v>
      </c>
      <c r="Q569" s="50" t="str">
        <f>IF(Ordini!$P569&lt;0,"DA EVITARE","OK")</f>
        <v>OK</v>
      </c>
      <c r="R569" s="50"/>
    </row>
    <row r="570" spans="1:18" s="55" customFormat="1" x14ac:dyDescent="0.25">
      <c r="A570" s="56">
        <v>46193</v>
      </c>
      <c r="B570" s="57" t="s">
        <v>109</v>
      </c>
      <c r="C570" s="57" t="s">
        <v>20</v>
      </c>
      <c r="D570" s="57" t="s">
        <v>778</v>
      </c>
      <c r="E570" s="57" t="s">
        <v>60</v>
      </c>
      <c r="F570" s="58">
        <v>1</v>
      </c>
      <c r="G570" s="60">
        <v>87.99</v>
      </c>
      <c r="H570" s="59">
        <v>0</v>
      </c>
      <c r="I570" s="60">
        <f>Ordini!$G570/(1+Ordini!$H570)</f>
        <v>87.99</v>
      </c>
      <c r="J570" s="60">
        <v>14.36</v>
      </c>
      <c r="K570" s="60" cm="1">
        <f t="array" ref="K570">IFERROR(
_xlfn.XLOOKUP(Ordini!E570,'Prodotti Magazzino'!$A$2:A10135,'Prodotti Magazzino'!$B$2:B10135),
_xlfn.XLOOKUP(Ordini!E570,'Prodotti drop'!$A$2:A10134,'Prodotti drop'!$B$2:B10134)
)*Ordini!F570</f>
        <v>39.76</v>
      </c>
      <c r="L570" s="60" cm="1">
        <f t="array" ref="L570">_xlfn.LET(
_xlpm.stato,TRIM(Ordini!$M570),
_xlpm.sku,TRIM(Ordini!$E570),
_xlpm.paese,TRIM(Ordini!$C570),
_xlpm.andata,_xlfn.XLOOKUP(1,
    (TRIM(Logistica!$A$2:A10556)=_xlpm.sku)*
    (TRIM( Logistica!$B$2:B10556)=_xlpm.paese),
  Logistica!$C$2:C10556,
    0),
_xlpm.reso,_xlfn.XLOOKUP(1,
    (TRIM(Logistica!$A$2:A10556)=_xlpm.sku)*
    (TRIM(Logistica!$B$2:B10556)=_xlpm.paese),
    Logistica!$D$2:D10556,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70" s="58" t="s">
        <v>34</v>
      </c>
      <c r="N570" s="58"/>
      <c r="O570" s="61">
        <f>Ordini!$K570+Ordini!$J570+Ordini!$L570</f>
        <v>62.129999999999995</v>
      </c>
      <c r="P570" s="61">
        <f>Ordini!$I570-Ordini!$O570</f>
        <v>25.86</v>
      </c>
      <c r="Q570" s="58" t="str">
        <f>IF(Ordini!$P570&lt;0,"DA EVITARE","OK")</f>
        <v>OK</v>
      </c>
      <c r="R570" s="58"/>
    </row>
    <row r="571" spans="1:18" s="62" customFormat="1" x14ac:dyDescent="0.25">
      <c r="A571" s="48">
        <v>46194</v>
      </c>
      <c r="B571" s="49" t="s">
        <v>110</v>
      </c>
      <c r="C571" s="49" t="s">
        <v>20</v>
      </c>
      <c r="D571" s="49" t="s">
        <v>779</v>
      </c>
      <c r="E571" s="49" t="s">
        <v>736</v>
      </c>
      <c r="F571" s="50">
        <v>1</v>
      </c>
      <c r="G571" s="52">
        <v>85.84</v>
      </c>
      <c r="H571" s="51">
        <v>0</v>
      </c>
      <c r="I571" s="52">
        <f>Ordini!$G571/(1+Ordini!$H571)</f>
        <v>85.84</v>
      </c>
      <c r="J571" s="52">
        <v>0</v>
      </c>
      <c r="K571" s="52" cm="1">
        <f t="array" ref="K571">IFERROR(
_xlfn.XLOOKUP(Ordini!E571,'Prodotti Magazzino'!$A$2:A10136,'Prodotti Magazzino'!$B$2:B10136),
_xlfn.XLOOKUP(Ordini!E571,'Prodotti drop'!$A$2:A10135,'Prodotti drop'!$B$2:B10135)
)*Ordini!F571</f>
        <v>44</v>
      </c>
      <c r="L571" s="52" cm="1">
        <f t="array" ref="L571">_xlfn.LET(
_xlpm.stato,TRIM(Ordini!$M571),
_xlpm.sku,TRIM(Ordini!$E571),
_xlpm.paese,TRIM(Ordini!$C571),
_xlpm.andata,_xlfn.XLOOKUP(1,
    (TRIM(Logistica!$A$2:A10557)=_xlpm.sku)*
    (TRIM( Logistica!$B$2:B10557)=_xlpm.paese),
  Logistica!$C$2:C10557,
    0),
_xlpm.reso,_xlfn.XLOOKUP(1,
    (TRIM(Logistica!$A$2:A10557)=_xlpm.sku)*
    (TRIM(Logistica!$B$2:B10557)=_xlpm.paese),
    Logistica!$D$2:D10557,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71" s="50" t="s">
        <v>34</v>
      </c>
      <c r="N571" s="50"/>
      <c r="O571" s="53">
        <f>Ordini!$K571+Ordini!$J571+Ordini!$L571</f>
        <v>50.065573770491802</v>
      </c>
      <c r="P571" s="53">
        <f>Ordini!$I571-Ordini!$O571</f>
        <v>35.774426229508201</v>
      </c>
      <c r="Q571" s="50" t="str">
        <f>IF(Ordini!$P571&lt;0,"DA EVITARE","OK")</f>
        <v>OK</v>
      </c>
      <c r="R571" s="50"/>
    </row>
    <row r="572" spans="1:18" s="55" customFormat="1" x14ac:dyDescent="0.25">
      <c r="A572" s="56">
        <v>46194</v>
      </c>
      <c r="B572" s="57" t="s">
        <v>110</v>
      </c>
      <c r="C572" s="57" t="s">
        <v>20</v>
      </c>
      <c r="D572" s="57" t="s">
        <v>780</v>
      </c>
      <c r="E572" s="57" t="s">
        <v>60</v>
      </c>
      <c r="F572" s="58">
        <v>1</v>
      </c>
      <c r="G572" s="60">
        <v>76.08</v>
      </c>
      <c r="H572" s="59">
        <v>0</v>
      </c>
      <c r="I572" s="60">
        <f>Ordini!$G572/(1+Ordini!$H572)</f>
        <v>76.08</v>
      </c>
      <c r="J572" s="60">
        <v>0</v>
      </c>
      <c r="K572" s="60" cm="1">
        <f t="array" ref="K572">IFERROR(
_xlfn.XLOOKUP(Ordini!E572,'Prodotti Magazzino'!$A$2:A10137,'Prodotti Magazzino'!$B$2:B10137),
_xlfn.XLOOKUP(Ordini!E572,'Prodotti drop'!$A$2:A10136,'Prodotti drop'!$B$2:B10136)
)*Ordini!F572</f>
        <v>39.76</v>
      </c>
      <c r="L572" s="60" cm="1">
        <f t="array" ref="L572">_xlfn.LET(
_xlpm.stato,TRIM(Ordini!$M572),
_xlpm.sku,TRIM(Ordini!$E572),
_xlpm.paese,TRIM(Ordini!$C572),
_xlpm.andata,_xlfn.XLOOKUP(1,
    (TRIM(Logistica!$A$2:A10558)=_xlpm.sku)*
    (TRIM( Logistica!$B$2:B10558)=_xlpm.paese),
  Logistica!$C$2:C10558,
    0),
_xlpm.reso,_xlfn.XLOOKUP(1,
    (TRIM(Logistica!$A$2:A10558)=_xlpm.sku)*
    (TRIM(Logistica!$B$2:B10558)=_xlpm.paese),
    Logistica!$D$2:D10558,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72" s="58" t="s">
        <v>34</v>
      </c>
      <c r="N572" s="58"/>
      <c r="O572" s="61">
        <f>Ordini!$K572+Ordini!$J572+Ordini!$L572</f>
        <v>47.769999999999996</v>
      </c>
      <c r="P572" s="61">
        <f>Ordini!$I572-Ordini!$O572</f>
        <v>28.310000000000002</v>
      </c>
      <c r="Q572" s="58" t="str">
        <f>IF(Ordini!$P572&lt;0,"DA EVITARE","OK")</f>
        <v>OK</v>
      </c>
      <c r="R572" s="58"/>
    </row>
    <row r="573" spans="1:18" s="62" customFormat="1" x14ac:dyDescent="0.25">
      <c r="A573" s="48">
        <v>46194</v>
      </c>
      <c r="B573" s="49" t="s">
        <v>110</v>
      </c>
      <c r="C573" s="49" t="s">
        <v>20</v>
      </c>
      <c r="D573" s="49" t="s">
        <v>781</v>
      </c>
      <c r="E573" s="49" t="s">
        <v>736</v>
      </c>
      <c r="F573" s="50">
        <v>1</v>
      </c>
      <c r="G573" s="52">
        <v>85.84</v>
      </c>
      <c r="H573" s="51">
        <v>0</v>
      </c>
      <c r="I573" s="52">
        <f>Ordini!$G573/(1+Ordini!$H573)</f>
        <v>85.84</v>
      </c>
      <c r="J573" s="52">
        <v>0</v>
      </c>
      <c r="K573" s="52" cm="1">
        <f t="array" ref="K573">IFERROR(
_xlfn.XLOOKUP(Ordini!E573,'Prodotti Magazzino'!$A$2:A10138,'Prodotti Magazzino'!$B$2:B10138),
_xlfn.XLOOKUP(Ordini!E573,'Prodotti drop'!$A$2:A10137,'Prodotti drop'!$B$2:B10137)
)*Ordini!F573</f>
        <v>44</v>
      </c>
      <c r="L573" s="52" cm="1">
        <f t="array" ref="L573">_xlfn.LET(
_xlpm.stato,TRIM(Ordini!$M573),
_xlpm.sku,TRIM(Ordini!$E573),
_xlpm.paese,TRIM(Ordini!$C573),
_xlpm.andata,_xlfn.XLOOKUP(1,
    (TRIM(Logistica!$A$2:A10559)=_xlpm.sku)*
    (TRIM( Logistica!$B$2:B10559)=_xlpm.paese),
  Logistica!$C$2:C10559,
    0),
_xlpm.reso,_xlfn.XLOOKUP(1,
    (TRIM(Logistica!$A$2:A10559)=_xlpm.sku)*
    (TRIM(Logistica!$B$2:B10559)=_xlpm.paese),
    Logistica!$D$2:D10559,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73" s="50" t="s">
        <v>34</v>
      </c>
      <c r="N573" s="50"/>
      <c r="O573" s="53">
        <f>Ordini!$K573+Ordini!$J573+Ordini!$L573</f>
        <v>50.065573770491802</v>
      </c>
      <c r="P573" s="53">
        <f>Ordini!$I573-Ordini!$O573</f>
        <v>35.774426229508201</v>
      </c>
      <c r="Q573" s="50" t="str">
        <f>IF(Ordini!$P573&lt;0,"DA EVITARE","OK")</f>
        <v>OK</v>
      </c>
      <c r="R573" s="50"/>
    </row>
    <row r="574" spans="1:18" s="55" customFormat="1" x14ac:dyDescent="0.25">
      <c r="A574" s="56">
        <v>46194</v>
      </c>
      <c r="B574" s="57" t="s">
        <v>109</v>
      </c>
      <c r="C574" s="57" t="s">
        <v>20</v>
      </c>
      <c r="D574" s="57" t="s">
        <v>782</v>
      </c>
      <c r="E574" s="57" t="s">
        <v>410</v>
      </c>
      <c r="F574" s="58">
        <v>1</v>
      </c>
      <c r="G574" s="60">
        <v>149.99</v>
      </c>
      <c r="H574" s="59">
        <v>0</v>
      </c>
      <c r="I574" s="60">
        <f>Ordini!$G574/(1+Ordini!$H574)</f>
        <v>149.99</v>
      </c>
      <c r="J574" s="60">
        <v>28.27</v>
      </c>
      <c r="K574" s="60" cm="1">
        <f t="array" ref="K574">IFERROR(
_xlfn.XLOOKUP(Ordini!E574,'Prodotti Magazzino'!$A$2:A10139,'Prodotti Magazzino'!$B$2:B10139),
_xlfn.XLOOKUP(Ordini!E574,'Prodotti drop'!$A$2:A10138,'Prodotti drop'!$B$2:B10138)
)*Ordini!F574</f>
        <v>64.8</v>
      </c>
      <c r="L574" s="60" cm="1">
        <f t="array" ref="L574">_xlfn.LET(
_xlpm.stato,TRIM(Ordini!$M574),
_xlpm.sku,TRIM(Ordini!$E574),
_xlpm.paese,TRIM(Ordini!$C574),
_xlpm.andata,_xlfn.XLOOKUP(1,
    (TRIM(Logistica!$A$2:A10560)=_xlpm.sku)*
    (TRIM( Logistica!$B$2:B10560)=_xlpm.paese),
  Logistica!$C$2:C10560,
    0),
_xlpm.reso,_xlfn.XLOOKUP(1,
    (TRIM(Logistica!$A$2:A10560)=_xlpm.sku)*
    (TRIM(Logistica!$B$2:B10560)=_xlpm.paese),
    Logistica!$D$2:D10560,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74" s="58" t="s">
        <v>34</v>
      </c>
      <c r="N574" s="58"/>
      <c r="O574" s="61">
        <f>Ordini!$K574+Ordini!$J574+Ordini!$L574</f>
        <v>99.135573770491803</v>
      </c>
      <c r="P574" s="61">
        <f>Ordini!$I574-Ordini!$O574</f>
        <v>50.854426229508206</v>
      </c>
      <c r="Q574" s="58" t="str">
        <f>IF(Ordini!$P574&lt;0,"DA EVITARE","OK")</f>
        <v>OK</v>
      </c>
      <c r="R574" s="58"/>
    </row>
    <row r="575" spans="1:18" s="62" customFormat="1" x14ac:dyDescent="0.25">
      <c r="A575" s="48">
        <v>46196</v>
      </c>
      <c r="B575" s="49" t="s">
        <v>110</v>
      </c>
      <c r="C575" s="49" t="s">
        <v>20</v>
      </c>
      <c r="D575" s="49" t="s">
        <v>783</v>
      </c>
      <c r="E575" s="49" t="s">
        <v>60</v>
      </c>
      <c r="F575" s="50">
        <v>1</v>
      </c>
      <c r="G575" s="52">
        <v>76.08</v>
      </c>
      <c r="H575" s="51">
        <v>0</v>
      </c>
      <c r="I575" s="52">
        <f>Ordini!$G575/(1+Ordini!$H575)</f>
        <v>76.08</v>
      </c>
      <c r="J575" s="52">
        <v>0</v>
      </c>
      <c r="K575" s="52" cm="1">
        <f t="array" ref="K575">IFERROR(
_xlfn.XLOOKUP(Ordini!E575,'Prodotti Magazzino'!$A$2:A10140,'Prodotti Magazzino'!$B$2:B10140),
_xlfn.XLOOKUP(Ordini!E575,'Prodotti drop'!$A$2:A10139,'Prodotti drop'!$B$2:B10139)
)*Ordini!F575</f>
        <v>39.76</v>
      </c>
      <c r="L575" s="52" cm="1">
        <f t="array" ref="L575">_xlfn.LET(
_xlpm.stato,TRIM(Ordini!$M575),
_xlpm.sku,TRIM(Ordini!$E575),
_xlpm.paese,TRIM(Ordini!$C575),
_xlpm.andata,_xlfn.XLOOKUP(1,
    (TRIM(Logistica!$A$2:A10561)=_xlpm.sku)*
    (TRIM( Logistica!$B$2:B10561)=_xlpm.paese),
  Logistica!$C$2:C10561,
    0),
_xlpm.reso,_xlfn.XLOOKUP(1,
    (TRIM(Logistica!$A$2:A10561)=_xlpm.sku)*
    (TRIM(Logistica!$B$2:B10561)=_xlpm.paese),
    Logistica!$D$2:D10561,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75" s="50" t="s">
        <v>34</v>
      </c>
      <c r="N575" s="50"/>
      <c r="O575" s="53">
        <f>Ordini!$K575+Ordini!$J575+Ordini!$L575</f>
        <v>47.769999999999996</v>
      </c>
      <c r="P575" s="53">
        <f>Ordini!$I575-Ordini!$O575</f>
        <v>28.310000000000002</v>
      </c>
      <c r="Q575" s="50" t="str">
        <f>IF(Ordini!$P575&lt;0,"DA EVITARE","OK")</f>
        <v>OK</v>
      </c>
      <c r="R575" s="50"/>
    </row>
    <row r="576" spans="1:18" s="62" customFormat="1" x14ac:dyDescent="0.25">
      <c r="A576" s="48">
        <v>46196</v>
      </c>
      <c r="B576" s="49" t="s">
        <v>111</v>
      </c>
      <c r="C576" s="49" t="s">
        <v>20</v>
      </c>
      <c r="D576" s="49" t="s">
        <v>803</v>
      </c>
      <c r="E576" s="49" t="s">
        <v>60</v>
      </c>
      <c r="F576" s="50">
        <v>1</v>
      </c>
      <c r="G576" s="52">
        <v>82.9</v>
      </c>
      <c r="H576" s="51">
        <v>0</v>
      </c>
      <c r="I576" s="52">
        <f>Ordini!$G576/(1+Ordini!$H576)</f>
        <v>82.9</v>
      </c>
      <c r="J576" s="52">
        <f>6.03+1.66</f>
        <v>7.69</v>
      </c>
      <c r="K576" s="52" cm="1">
        <f t="array" ref="K576">IFERROR(
_xlfn.XLOOKUP(Ordini!E576,'Prodotti Magazzino'!$A$2:A10141,'Prodotti Magazzino'!$B$2:B10141),
_xlfn.XLOOKUP(Ordini!E576,'Prodotti drop'!$A$2:A10140,'Prodotti drop'!$B$2:B10140)
)*Ordini!F576</f>
        <v>39.76</v>
      </c>
      <c r="L576" s="52" cm="1">
        <f t="array" ref="L576">_xlfn.LET(
_xlpm.stato,TRIM(Ordini!$M576),
_xlpm.sku,TRIM(Ordini!$E576),
_xlpm.paese,TRIM(Ordini!$C576),
_xlpm.andata,_xlfn.XLOOKUP(1,
    (TRIM(Logistica!$A$2:A10562)=_xlpm.sku)*
    (TRIM( Logistica!$B$2:B10562)=_xlpm.paese),
  Logistica!$C$2:C10562,
    0),
_xlpm.reso,_xlfn.XLOOKUP(1,
    (TRIM(Logistica!$A$2:A10562)=_xlpm.sku)*
    (TRIM(Logistica!$B$2:B10562)=_xlpm.paese),
    Logistica!$D$2:D10562,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76" s="50" t="s">
        <v>34</v>
      </c>
      <c r="N576" s="50"/>
      <c r="O576" s="53">
        <f>Ordini!$K576+Ordini!$J576+Ordini!$L576</f>
        <v>55.459999999999994</v>
      </c>
      <c r="P576" s="53">
        <f>Ordini!$I576-Ordini!$O576</f>
        <v>27.440000000000012</v>
      </c>
      <c r="Q576" s="50" t="str">
        <f>IF(Ordini!$P576&lt;0,"DA EVITARE","OK")</f>
        <v>OK</v>
      </c>
      <c r="R576" s="50"/>
    </row>
    <row r="577" spans="1:18" s="55" customFormat="1" x14ac:dyDescent="0.25">
      <c r="A577" s="56">
        <v>46197</v>
      </c>
      <c r="B577" s="57" t="s">
        <v>109</v>
      </c>
      <c r="C577" s="57" t="s">
        <v>20</v>
      </c>
      <c r="D577" s="57" t="s">
        <v>784</v>
      </c>
      <c r="E577" s="57" t="s">
        <v>413</v>
      </c>
      <c r="F577" s="58">
        <v>1</v>
      </c>
      <c r="G577" s="60">
        <v>24.9</v>
      </c>
      <c r="H577" s="59">
        <v>0</v>
      </c>
      <c r="I577" s="60">
        <f>Ordini!$G577/(1+Ordini!$H577)</f>
        <v>24.9</v>
      </c>
      <c r="J577" s="60">
        <v>4.71</v>
      </c>
      <c r="K577" s="60" cm="1">
        <f t="array" ref="K577">IFERROR(
_xlfn.XLOOKUP(Ordini!E577,'Prodotti Magazzino'!$A$2:A10141,'Prodotti Magazzino'!$B$2:B10141),
_xlfn.XLOOKUP(Ordini!E577,'Prodotti drop'!$A$2:A10140,'Prodotti drop'!$B$2:B10140)
)*Ordini!F577</f>
        <v>8.43</v>
      </c>
      <c r="L577" s="60" cm="1">
        <f t="array" ref="L577">_xlfn.LET(
_xlpm.stato,TRIM(Ordini!$M577),
_xlpm.sku,TRIM(Ordini!$E577),
_xlpm.paese,TRIM(Ordini!$C577),
_xlpm.andata,_xlfn.XLOOKUP(1,
    (TRIM(Logistica!$A$2:A10562)=_xlpm.sku)*
    (TRIM( Logistica!$B$2:B10562)=_xlpm.paese),
  Logistica!$C$2:C10562,
    0),
_xlpm.reso,_xlfn.XLOOKUP(1,
    (TRIM(Logistica!$A$2:A10562)=_xlpm.sku)*
    (TRIM(Logistica!$B$2:B10562)=_xlpm.paese),
    Logistica!$D$2:D10562,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77" s="58" t="s">
        <v>34</v>
      </c>
      <c r="N577" s="58"/>
      <c r="O577" s="61">
        <f>Ordini!$K577+Ordini!$J577+Ordini!$L577</f>
        <v>17.91</v>
      </c>
      <c r="P577" s="61">
        <f>Ordini!$I577-Ordini!$O577</f>
        <v>6.9899999999999984</v>
      </c>
      <c r="Q577" s="58" t="str">
        <f>IF(Ordini!$P577&lt;0,"DA EVITARE","OK")</f>
        <v>OK</v>
      </c>
      <c r="R577" s="58"/>
    </row>
    <row r="578" spans="1:18" s="62" customFormat="1" x14ac:dyDescent="0.25">
      <c r="A578" s="48">
        <v>46197</v>
      </c>
      <c r="B578" s="49" t="s">
        <v>110</v>
      </c>
      <c r="C578" s="49" t="s">
        <v>20</v>
      </c>
      <c r="D578" s="49" t="s">
        <v>785</v>
      </c>
      <c r="E578" s="49" t="s">
        <v>736</v>
      </c>
      <c r="F578" s="50">
        <v>1</v>
      </c>
      <c r="G578" s="52">
        <v>85.84</v>
      </c>
      <c r="H578" s="51">
        <v>0</v>
      </c>
      <c r="I578" s="52">
        <f>Ordini!$G578/(1+Ordini!$H578)</f>
        <v>85.84</v>
      </c>
      <c r="J578" s="52">
        <v>0</v>
      </c>
      <c r="K578" s="52" cm="1">
        <f t="array" ref="K578">IFERROR(
_xlfn.XLOOKUP(Ordini!E578,'Prodotti Magazzino'!$A$2:A10142,'Prodotti Magazzino'!$B$2:B10142),
_xlfn.XLOOKUP(Ordini!E578,'Prodotti drop'!$A$2:A10141,'Prodotti drop'!$B$2:B10141)
)*Ordini!F578</f>
        <v>44</v>
      </c>
      <c r="L578" s="52" cm="1">
        <f t="array" ref="L578">_xlfn.LET(
_xlpm.stato,TRIM(Ordini!$M578),
_xlpm.sku,TRIM(Ordini!$E578),
_xlpm.paese,TRIM(Ordini!$C578),
_xlpm.andata,_xlfn.XLOOKUP(1,
    (TRIM(Logistica!$A$2:A10563)=_xlpm.sku)*
    (TRIM( Logistica!$B$2:B10563)=_xlpm.paese),
  Logistica!$C$2:C10563,
    0),
_xlpm.reso,_xlfn.XLOOKUP(1,
    (TRIM(Logistica!$A$2:A10563)=_xlpm.sku)*
    (TRIM(Logistica!$B$2:B10563)=_xlpm.paese),
    Logistica!$D$2:D10563,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78" s="50" t="s">
        <v>34</v>
      </c>
      <c r="N578" s="50"/>
      <c r="O578" s="53">
        <f>Ordini!$K578+Ordini!$J578+Ordini!$L578</f>
        <v>50.065573770491802</v>
      </c>
      <c r="P578" s="53">
        <f>Ordini!$I578-Ordini!$O578</f>
        <v>35.774426229508201</v>
      </c>
      <c r="Q578" s="50" t="str">
        <f>IF(Ordini!$P578&lt;0,"DA EVITARE","OK")</f>
        <v>OK</v>
      </c>
      <c r="R578" s="50"/>
    </row>
    <row r="579" spans="1:18" s="55" customFormat="1" x14ac:dyDescent="0.25">
      <c r="A579" s="56">
        <v>46197</v>
      </c>
      <c r="B579" s="57" t="s">
        <v>110</v>
      </c>
      <c r="C579" s="57" t="s">
        <v>20</v>
      </c>
      <c r="D579" s="57" t="s">
        <v>786</v>
      </c>
      <c r="E579" s="57" t="s">
        <v>347</v>
      </c>
      <c r="F579" s="58">
        <v>1</v>
      </c>
      <c r="G579" s="60">
        <v>12.98</v>
      </c>
      <c r="H579" s="59">
        <v>0</v>
      </c>
      <c r="I579" s="60">
        <f>Ordini!$G579/(1+Ordini!$H579)</f>
        <v>12.98</v>
      </c>
      <c r="J579" s="60">
        <v>0</v>
      </c>
      <c r="K579" s="60">
        <v>6</v>
      </c>
      <c r="L579" s="60" cm="1">
        <f t="array" ref="L579">_xlfn.LET(
_xlpm.stato,TRIM(Ordini!$M579),
_xlpm.sku,TRIM(Ordini!$E579),
_xlpm.paese,TRIM(Ordini!$C579),
_xlpm.andata,_xlfn.XLOOKUP(1,
    (TRIM(Logistica!$A$2:A10564)=_xlpm.sku)*
    (TRIM( Logistica!$B$2:B10564)=_xlpm.paese),
  Logistica!$C$2:C10564,
    0),
_xlpm.reso,_xlfn.XLOOKUP(1,
    (TRIM(Logistica!$A$2:A10564)=_xlpm.sku)*
    (TRIM(Logistica!$B$2:B10564)=_xlpm.paese),
    Logistica!$D$2:D10564,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79" s="58" t="s">
        <v>34</v>
      </c>
      <c r="N579" s="58"/>
      <c r="O579" s="61">
        <f>Ordini!$K579+Ordini!$J579+Ordini!$L579</f>
        <v>10.77</v>
      </c>
      <c r="P579" s="61">
        <f>Ordini!$I579-Ordini!$O579</f>
        <v>2.2100000000000009</v>
      </c>
      <c r="Q579" s="58" t="str">
        <f>IF(Ordini!$P579&lt;0,"DA EVITARE","OK")</f>
        <v>OK</v>
      </c>
      <c r="R579" s="58"/>
    </row>
    <row r="580" spans="1:18" s="55" customFormat="1" x14ac:dyDescent="0.25">
      <c r="A580" s="56">
        <v>46197</v>
      </c>
      <c r="B580" s="57" t="s">
        <v>111</v>
      </c>
      <c r="C580" s="57" t="s">
        <v>20</v>
      </c>
      <c r="D580" s="57" t="s">
        <v>804</v>
      </c>
      <c r="E580" s="57" t="s">
        <v>805</v>
      </c>
      <c r="F580" s="58">
        <v>1</v>
      </c>
      <c r="G580" s="60">
        <v>9.0299999999999994</v>
      </c>
      <c r="H580" s="59">
        <v>0</v>
      </c>
      <c r="I580" s="60">
        <f>Ordini!$G580/(1+Ordini!$H580)</f>
        <v>9.0299999999999994</v>
      </c>
      <c r="J580" s="60">
        <v>1.37</v>
      </c>
      <c r="K580" s="60" cm="1">
        <f t="array" ref="K580">IFERROR(
_xlfn.XLOOKUP(Ordini!E580,'Prodotti Magazzino'!$A$2:A10144,'Prodotti Magazzino'!$B$2:B10144),
_xlfn.XLOOKUP(Ordini!E580,'Prodotti drop'!$A$2:A10143,'Prodotti drop'!$B$2:B10143)
)*Ordini!F580</f>
        <v>4</v>
      </c>
      <c r="L580" s="60" cm="1">
        <f t="array" ref="L580">_xlfn.LET(
_xlpm.stato,TRIM(Ordini!$M580),
_xlpm.sku,TRIM(Ordini!$E580),
_xlpm.paese,TRIM(Ordini!$C580),
_xlpm.andata,_xlfn.XLOOKUP(1,
    (TRIM(Logistica!$A$2:A10565)=_xlpm.sku)*
    (TRIM( Logistica!$B$2:B10565)=_xlpm.paese),
  Logistica!$C$2:C10565,
    0),
_xlpm.reso,_xlfn.XLOOKUP(1,
    (TRIM(Logistica!$A$2:A10565)=_xlpm.sku)*
    (TRIM(Logistica!$B$2:B10565)=_xlpm.paese),
    Logistica!$D$2:D10565,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4.75</v>
      </c>
      <c r="M580" s="58" t="s">
        <v>34</v>
      </c>
      <c r="N580" s="58"/>
      <c r="O580" s="61">
        <f>Ordini!$K580+Ordini!$J580+Ordini!$L580</f>
        <v>10.120000000000001</v>
      </c>
      <c r="P580" s="61">
        <f>Ordini!$I580-Ordini!$O580</f>
        <v>-1.0900000000000016</v>
      </c>
      <c r="Q580" s="58" t="str">
        <f>IF(Ordini!$P580&lt;0,"DA EVITARE","OK")</f>
        <v>DA EVITARE</v>
      </c>
      <c r="R580" s="58"/>
    </row>
    <row r="581" spans="1:18" s="62" customFormat="1" x14ac:dyDescent="0.25">
      <c r="A581" s="48">
        <v>46198</v>
      </c>
      <c r="B581" s="49" t="s">
        <v>110</v>
      </c>
      <c r="C581" s="49" t="s">
        <v>20</v>
      </c>
      <c r="D581" s="49" t="s">
        <v>787</v>
      </c>
      <c r="E581" s="49" t="s">
        <v>50</v>
      </c>
      <c r="F581" s="50">
        <v>1</v>
      </c>
      <c r="G581" s="52">
        <v>15.73</v>
      </c>
      <c r="H581" s="51">
        <v>0</v>
      </c>
      <c r="I581" s="52">
        <f>Ordini!$G581/(1+Ordini!$H581)</f>
        <v>15.73</v>
      </c>
      <c r="J581" s="52">
        <v>0</v>
      </c>
      <c r="K581" s="52" cm="1">
        <f t="array" ref="K581">IFERROR(
_xlfn.XLOOKUP(Ordini!E581,'Prodotti Magazzino'!$A$2:A10144,'Prodotti Magazzino'!$B$2:B10144),
_xlfn.XLOOKUP(Ordini!E581,'Prodotti drop'!$A$2:A10143,'Prodotti drop'!$B$2:B10143)
)*Ordini!F581</f>
        <v>6.41</v>
      </c>
      <c r="L581" s="52" cm="1">
        <f t="array" ref="L581">_xlfn.LET(
_xlpm.stato,TRIM(Ordini!$M581),
_xlpm.sku,TRIM(Ordini!$E581),
_xlpm.paese,TRIM(Ordini!$C581),
_xlpm.andata,_xlfn.XLOOKUP(1,
    (TRIM(Logistica!$A$2:A10565)=_xlpm.sku)*
    (TRIM( Logistica!$B$2:B10565)=_xlpm.paese),
  Logistica!$C$2:C10565,
    0),
_xlpm.reso,_xlfn.XLOOKUP(1,
    (TRIM(Logistica!$A$2:A10565)=_xlpm.sku)*
    (TRIM(Logistica!$B$2:B10565)=_xlpm.paese),
    Logistica!$D$2:D10565,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81" s="50" t="s">
        <v>34</v>
      </c>
      <c r="N581" s="50"/>
      <c r="O581" s="53">
        <f>Ordini!$K581+Ordini!$J581+Ordini!$L581</f>
        <v>11.18</v>
      </c>
      <c r="P581" s="53">
        <f>Ordini!$I581-Ordini!$O581</f>
        <v>4.5500000000000007</v>
      </c>
      <c r="Q581" s="50" t="str">
        <f>IF(Ordini!$P581&lt;0,"DA EVITARE","OK")</f>
        <v>OK</v>
      </c>
      <c r="R581" s="50"/>
    </row>
    <row r="582" spans="1:18" s="55" customFormat="1" x14ac:dyDescent="0.25">
      <c r="A582" s="56">
        <v>46198</v>
      </c>
      <c r="B582" s="57" t="s">
        <v>109</v>
      </c>
      <c r="C582" s="57" t="s">
        <v>20</v>
      </c>
      <c r="D582" s="57" t="s">
        <v>788</v>
      </c>
      <c r="E582" s="57" t="s">
        <v>505</v>
      </c>
      <c r="F582" s="58">
        <v>2</v>
      </c>
      <c r="G582" s="60">
        <v>27.02</v>
      </c>
      <c r="H582" s="59">
        <v>0</v>
      </c>
      <c r="I582" s="60">
        <f>Ordini!$G582/(1+Ordini!$H582)</f>
        <v>27.02</v>
      </c>
      <c r="J582" s="60">
        <v>5.1100000000000003</v>
      </c>
      <c r="K582" s="60" cm="1">
        <f t="array" ref="K582">IFERROR(
_xlfn.XLOOKUP(Ordini!E582,'Prodotti Magazzino'!$A$2:A10145,'Prodotti Magazzino'!$B$2:B10145),
_xlfn.XLOOKUP(Ordini!E582,'Prodotti drop'!$A$2:A10144,'Prodotti drop'!$B$2:B10144)
)*Ordini!F582</f>
        <v>4.9000000000000004</v>
      </c>
      <c r="L582" s="60" cm="1">
        <f t="array" ref="L582">_xlfn.LET(
_xlpm.stato,TRIM(Ordini!$M582),
_xlpm.sku,TRIM(Ordini!$E582),
_xlpm.paese,TRIM(Ordini!$C582),
_xlpm.andata,_xlfn.XLOOKUP(1,
    (TRIM(Logistica!$A$2:A10566)=_xlpm.sku)*
    (TRIM( Logistica!$B$2:B10566)=_xlpm.paese),
  Logistica!$C$2:C10566,
    0),
_xlpm.reso,_xlfn.XLOOKUP(1,
    (TRIM(Logistica!$A$2:A10566)=_xlpm.sku)*
    (TRIM(Logistica!$B$2:B10566)=_xlpm.paese),
    Logistica!$D$2:D10566,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82" s="58" t="s">
        <v>34</v>
      </c>
      <c r="N582" s="58"/>
      <c r="O582" s="61">
        <f>Ordini!$K582+Ordini!$J582+Ordini!$L582</f>
        <v>14.370000000000001</v>
      </c>
      <c r="P582" s="61">
        <f>Ordini!$I582-Ordini!$O582</f>
        <v>12.649999999999999</v>
      </c>
      <c r="Q582" s="58" t="str">
        <f>IF(Ordini!$P582&lt;0,"DA EVITARE","OK")</f>
        <v>OK</v>
      </c>
      <c r="R582" s="58"/>
    </row>
    <row r="583" spans="1:18" s="62" customFormat="1" x14ac:dyDescent="0.25">
      <c r="A583" s="48">
        <v>46198</v>
      </c>
      <c r="B583" s="49" t="s">
        <v>109</v>
      </c>
      <c r="C583" s="49" t="s">
        <v>20</v>
      </c>
      <c r="D583" s="49" t="s">
        <v>789</v>
      </c>
      <c r="E583" s="49" t="s">
        <v>799</v>
      </c>
      <c r="F583" s="50">
        <v>1</v>
      </c>
      <c r="G583" s="52">
        <v>47.5</v>
      </c>
      <c r="H583" s="51">
        <v>0</v>
      </c>
      <c r="I583" s="52">
        <f>Ordini!$G583/(1+Ordini!$H583)</f>
        <v>47.5</v>
      </c>
      <c r="J583" s="52">
        <v>8.9600000000000009</v>
      </c>
      <c r="K583" s="52" cm="1">
        <f t="array" ref="K583">IFERROR(
_xlfn.XLOOKUP(Ordini!E583,'Prodotti Magazzino'!$A$2:A10146,'Prodotti Magazzino'!$B$2:B10146),
_xlfn.XLOOKUP(Ordini!E583,'Prodotti drop'!$A$2:A10145,'Prodotti drop'!$B$2:B10145)
)*Ordini!F583</f>
        <v>28.035599999999999</v>
      </c>
      <c r="L583" s="52" cm="1">
        <f t="array" ref="L583">_xlfn.LET(
_xlpm.stato,TRIM(Ordini!$M583),
_xlpm.sku,TRIM(Ordini!$E583),
_xlpm.paese,TRIM(Ordini!$C583),
_xlpm.andata,_xlfn.XLOOKUP(1,
    (TRIM(Logistica!$A$2:A10567)=_xlpm.sku)*
    (TRIM( Logistica!$B$2:B10567)=_xlpm.paese),
  Logistica!$C$2:C10567,
    0),
_xlpm.reso,_xlfn.XLOOKUP(1,
    (TRIM(Logistica!$A$2:A10567)=_xlpm.sku)*
    (TRIM(Logistica!$B$2:B10567)=_xlpm.paese),
    Logistica!$D$2:D10567,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83" s="50" t="s">
        <v>34</v>
      </c>
      <c r="N583" s="50"/>
      <c r="O583" s="53">
        <f>Ordini!$K583+Ordini!$J583+Ordini!$L583</f>
        <v>41.765599999999992</v>
      </c>
      <c r="P583" s="53">
        <f>Ordini!$I583-Ordini!$O583</f>
        <v>5.7344000000000079</v>
      </c>
      <c r="Q583" s="50" t="str">
        <f>IF(Ordini!$P583&lt;0,"DA EVITARE","OK")</f>
        <v>OK</v>
      </c>
      <c r="R583" s="50"/>
    </row>
    <row r="584" spans="1:18" s="55" customFormat="1" x14ac:dyDescent="0.25">
      <c r="A584" s="56">
        <v>46198</v>
      </c>
      <c r="B584" s="57" t="s">
        <v>109</v>
      </c>
      <c r="C584" s="57" t="s">
        <v>20</v>
      </c>
      <c r="D584" s="57" t="s">
        <v>790</v>
      </c>
      <c r="E584" s="57" t="s">
        <v>60</v>
      </c>
      <c r="F584" s="58">
        <v>1</v>
      </c>
      <c r="G584" s="60">
        <v>87.99</v>
      </c>
      <c r="H584" s="59">
        <v>0</v>
      </c>
      <c r="I584" s="60">
        <f>Ordini!$G584/(1+Ordini!$H584)</f>
        <v>87.99</v>
      </c>
      <c r="J584" s="60">
        <v>14.38</v>
      </c>
      <c r="K584" s="60" cm="1">
        <f t="array" ref="K584">IFERROR(
_xlfn.XLOOKUP(Ordini!E584,'Prodotti Magazzino'!$A$2:A10147,'Prodotti Magazzino'!$B$2:B10147),
_xlfn.XLOOKUP(Ordini!E584,'Prodotti drop'!$A$2:A10146,'Prodotti drop'!$B$2:B10146)
)*Ordini!F584</f>
        <v>39.76</v>
      </c>
      <c r="L584" s="60" cm="1">
        <f t="array" ref="L584">_xlfn.LET(
_xlpm.stato,TRIM(Ordini!$M584),
_xlpm.sku,TRIM(Ordini!$E584),
_xlpm.paese,TRIM(Ordini!$C584),
_xlpm.andata,_xlfn.XLOOKUP(1,
    (TRIM(Logistica!$A$2:A10568)=_xlpm.sku)*
    (TRIM( Logistica!$B$2:B10568)=_xlpm.paese),
  Logistica!$C$2:C10568,
    0),
_xlpm.reso,_xlfn.XLOOKUP(1,
    (TRIM(Logistica!$A$2:A10568)=_xlpm.sku)*
    (TRIM(Logistica!$B$2:B10568)=_xlpm.paese),
    Logistica!$D$2:D10568,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84" s="58" t="s">
        <v>34</v>
      </c>
      <c r="N584" s="58"/>
      <c r="O584" s="61">
        <f>Ordini!$K584+Ordini!$J584+Ordini!$L584</f>
        <v>62.15</v>
      </c>
      <c r="P584" s="61">
        <f>Ordini!$I584-Ordini!$O584</f>
        <v>25.839999999999996</v>
      </c>
      <c r="Q584" s="58" t="str">
        <f>IF(Ordini!$P584&lt;0,"DA EVITARE","OK")</f>
        <v>OK</v>
      </c>
      <c r="R584" s="58"/>
    </row>
    <row r="585" spans="1:18" s="62" customFormat="1" x14ac:dyDescent="0.25">
      <c r="A585" s="48">
        <v>46199</v>
      </c>
      <c r="B585" s="49" t="s">
        <v>110</v>
      </c>
      <c r="C585" s="49" t="s">
        <v>20</v>
      </c>
      <c r="D585" s="49" t="s">
        <v>791</v>
      </c>
      <c r="E585" s="49" t="s">
        <v>736</v>
      </c>
      <c r="F585" s="50">
        <v>1</v>
      </c>
      <c r="G585" s="52">
        <v>85.84</v>
      </c>
      <c r="H585" s="51">
        <v>0</v>
      </c>
      <c r="I585" s="52">
        <f>Ordini!$G585/(1+Ordini!$H585)</f>
        <v>85.84</v>
      </c>
      <c r="J585" s="52">
        <v>0</v>
      </c>
      <c r="K585" s="52" cm="1">
        <f t="array" ref="K585">IFERROR(
_xlfn.XLOOKUP(Ordini!E585,'Prodotti Magazzino'!$A$2:A10148,'Prodotti Magazzino'!$B$2:B10148),
_xlfn.XLOOKUP(Ordini!E585,'Prodotti drop'!$A$2:A10147,'Prodotti drop'!$B$2:B10147)
)*Ordini!F585</f>
        <v>44</v>
      </c>
      <c r="L585" s="52" cm="1">
        <f t="array" ref="L585">_xlfn.LET(
_xlpm.stato,TRIM(Ordini!$M585),
_xlpm.sku,TRIM(Ordini!$E585),
_xlpm.paese,TRIM(Ordini!$C585),
_xlpm.andata,_xlfn.XLOOKUP(1,
    (TRIM(Logistica!$A$2:A10569)=_xlpm.sku)*
    (TRIM( Logistica!$B$2:B10569)=_xlpm.paese),
  Logistica!$C$2:C10569,
    0),
_xlpm.reso,_xlfn.XLOOKUP(1,
    (TRIM(Logistica!$A$2:A10569)=_xlpm.sku)*
    (TRIM(Logistica!$B$2:B10569)=_xlpm.paese),
    Logistica!$D$2:D10569,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6.0655737704918034</v>
      </c>
      <c r="M585" s="50" t="s">
        <v>34</v>
      </c>
      <c r="N585" s="50"/>
      <c r="O585" s="53">
        <f>Ordini!$K585+Ordini!$J585+Ordini!$L585</f>
        <v>50.065573770491802</v>
      </c>
      <c r="P585" s="53">
        <f>Ordini!$I585-Ordini!$O585</f>
        <v>35.774426229508201</v>
      </c>
      <c r="Q585" s="50" t="str">
        <f>IF(Ordini!$P585&lt;0,"DA EVITARE","OK")</f>
        <v>OK</v>
      </c>
      <c r="R585" s="50"/>
    </row>
    <row r="586" spans="1:18" s="55" customFormat="1" x14ac:dyDescent="0.25">
      <c r="A586" s="56">
        <v>46199</v>
      </c>
      <c r="B586" s="57" t="s">
        <v>110</v>
      </c>
      <c r="C586" s="57" t="s">
        <v>20</v>
      </c>
      <c r="D586" s="57" t="s">
        <v>792</v>
      </c>
      <c r="E586" s="57" t="s">
        <v>50</v>
      </c>
      <c r="F586" s="58">
        <v>1</v>
      </c>
      <c r="G586" s="60">
        <v>15.73</v>
      </c>
      <c r="H586" s="59">
        <v>0</v>
      </c>
      <c r="I586" s="60">
        <f>Ordini!$G586/(1+Ordini!$H586)</f>
        <v>15.73</v>
      </c>
      <c r="J586" s="60">
        <v>0</v>
      </c>
      <c r="K586" s="60" cm="1">
        <f t="array" ref="K586">IFERROR(
_xlfn.XLOOKUP(Ordini!E586,'Prodotti Magazzino'!$A$2:A10149,'Prodotti Magazzino'!$B$2:B10149),
_xlfn.XLOOKUP(Ordini!E586,'Prodotti drop'!$A$2:A10148,'Prodotti drop'!$B$2:B10148)
)*Ordini!F586</f>
        <v>6.41</v>
      </c>
      <c r="L586" s="60" cm="1">
        <f t="array" ref="L586">_xlfn.LET(
_xlpm.stato,TRIM(Ordini!$M586),
_xlpm.sku,TRIM(Ordini!$E586),
_xlpm.paese,TRIM(Ordini!$C586),
_xlpm.andata,_xlfn.XLOOKUP(1,
    (TRIM(Logistica!$A$2:A10570)=_xlpm.sku)*
    (TRIM( Logistica!$B$2:B10570)=_xlpm.paese),
  Logistica!$C$2:C10570,
    0),
_xlpm.reso,_xlfn.XLOOKUP(1,
    (TRIM(Logistica!$A$2:A10570)=_xlpm.sku)*
    (TRIM(Logistica!$B$2:B10570)=_xlpm.paese),
    Logistica!$D$2:D10570,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86" s="58" t="s">
        <v>34</v>
      </c>
      <c r="N586" s="58"/>
      <c r="O586" s="61">
        <f>Ordini!$K586+Ordini!$J586+Ordini!$L586</f>
        <v>11.18</v>
      </c>
      <c r="P586" s="61">
        <f>Ordini!$I586-Ordini!$O586</f>
        <v>4.5500000000000007</v>
      </c>
      <c r="Q586" s="58" t="str">
        <f>IF(Ordini!$P586&lt;0,"DA EVITARE","OK")</f>
        <v>OK</v>
      </c>
      <c r="R586" s="58"/>
    </row>
    <row r="587" spans="1:18" s="62" customFormat="1" x14ac:dyDescent="0.25">
      <c r="A587" s="48">
        <v>46199</v>
      </c>
      <c r="B587" s="49" t="s">
        <v>109</v>
      </c>
      <c r="C587" s="49" t="s">
        <v>20</v>
      </c>
      <c r="D587" s="49" t="s">
        <v>793</v>
      </c>
      <c r="E587" s="49" t="s">
        <v>800</v>
      </c>
      <c r="F587" s="50">
        <v>1</v>
      </c>
      <c r="G587" s="52">
        <v>50</v>
      </c>
      <c r="H587" s="51">
        <v>0</v>
      </c>
      <c r="I587" s="52">
        <f>Ordini!$G587/(1+Ordini!$H587)</f>
        <v>50</v>
      </c>
      <c r="J587" s="52">
        <v>9.44</v>
      </c>
      <c r="K587" s="52" cm="1">
        <f t="array" ref="K587">IFERROR(
_xlfn.XLOOKUP(Ordini!E587,'Prodotti Magazzino'!$A$2:A10150,'Prodotti Magazzino'!$B$2:B10150),
_xlfn.XLOOKUP(Ordini!E587,'Prodotti drop'!$A$2:A10149,'Prodotti drop'!$B$2:B10149)
)*Ordini!F587</f>
        <v>29.59</v>
      </c>
      <c r="L587" s="52" cm="1">
        <f t="array" ref="L587">_xlfn.LET(
_xlpm.stato,TRIM(Ordini!$M587),
_xlpm.sku,TRIM(Ordini!$E587),
_xlpm.paese,TRIM(Ordini!$C587),
_xlpm.andata,_xlfn.XLOOKUP(1,
    (TRIM(Logistica!$A$2:A10571)=_xlpm.sku)*
    (TRIM( Logistica!$B$2:B10571)=_xlpm.paese),
  Logistica!$C$2:C10571,
    0),
_xlpm.reso,_xlfn.XLOOKUP(1,
    (TRIM(Logistica!$A$2:A10571)=_xlpm.sku)*
    (TRIM(Logistica!$B$2:B10571)=_xlpm.paese),
    Logistica!$D$2:D10571,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4.7699999999999996</v>
      </c>
      <c r="M587" s="50" t="s">
        <v>34</v>
      </c>
      <c r="N587" s="50"/>
      <c r="O587" s="53">
        <f>Ordini!$K587+Ordini!$J587+Ordini!$L587</f>
        <v>43.8</v>
      </c>
      <c r="P587" s="53">
        <f>Ordini!$I587-Ordini!$O587</f>
        <v>6.2000000000000028</v>
      </c>
      <c r="Q587" s="50" t="str">
        <f>IF(Ordini!$P587&lt;0,"DA EVITARE","OK")</f>
        <v>OK</v>
      </c>
      <c r="R587" s="50"/>
    </row>
    <row r="588" spans="1:18" s="55" customFormat="1" x14ac:dyDescent="0.25">
      <c r="A588" s="56">
        <v>46199</v>
      </c>
      <c r="B588" s="57" t="s">
        <v>109</v>
      </c>
      <c r="C588" s="57" t="s">
        <v>20</v>
      </c>
      <c r="D588" s="57" t="s">
        <v>794</v>
      </c>
      <c r="E588" s="57" t="s">
        <v>60</v>
      </c>
      <c r="F588" s="58">
        <v>1</v>
      </c>
      <c r="G588" s="60">
        <v>87.99</v>
      </c>
      <c r="H588" s="59">
        <v>0</v>
      </c>
      <c r="I588" s="60">
        <f>Ordini!$G588/(1+Ordini!$H588)</f>
        <v>87.99</v>
      </c>
      <c r="J588" s="60">
        <v>14.38</v>
      </c>
      <c r="K588" s="60" cm="1">
        <f t="array" ref="K588">IFERROR(
_xlfn.XLOOKUP(Ordini!E588,'Prodotti Magazzino'!$A$2:A10151,'Prodotti Magazzino'!$B$2:B10151),
_xlfn.XLOOKUP(Ordini!E588,'Prodotti drop'!$A$2:A10150,'Prodotti drop'!$B$2:B10150)
)*Ordini!F588</f>
        <v>39.76</v>
      </c>
      <c r="L588" s="60" cm="1">
        <f t="array" ref="L588">_xlfn.LET(
_xlpm.stato,TRIM(Ordini!$M588),
_xlpm.sku,TRIM(Ordini!$E588),
_xlpm.paese,TRIM(Ordini!$C588),
_xlpm.andata,_xlfn.XLOOKUP(1,
    (TRIM(Logistica!$A$2:A10572)=_xlpm.sku)*
    (TRIM( Logistica!$B$2:B10572)=_xlpm.paese),
  Logistica!$C$2:C10572,
    0),
_xlpm.reso,_xlfn.XLOOKUP(1,
    (TRIM(Logistica!$A$2:A10572)=_xlpm.sku)*
    (TRIM(Logistica!$B$2:B10572)=_xlpm.paese),
    Logistica!$D$2:D10572,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8.01</v>
      </c>
      <c r="M588" s="58" t="s">
        <v>34</v>
      </c>
      <c r="N588" s="58"/>
      <c r="O588" s="61">
        <f>Ordini!$K588+Ordini!$J588+Ordini!$L588</f>
        <v>62.15</v>
      </c>
      <c r="P588" s="61">
        <f>Ordini!$I588-Ordini!$O588</f>
        <v>25.839999999999996</v>
      </c>
      <c r="Q588" s="58" t="str">
        <f>IF(Ordini!$P588&lt;0,"DA EVITARE","OK")</f>
        <v>OK</v>
      </c>
      <c r="R588" s="58"/>
    </row>
    <row r="589" spans="1:18" s="62" customFormat="1" x14ac:dyDescent="0.25">
      <c r="A589" s="48">
        <v>46199</v>
      </c>
      <c r="B589" s="49" t="s">
        <v>109</v>
      </c>
      <c r="C589" s="49" t="s">
        <v>20</v>
      </c>
      <c r="D589" s="49" t="s">
        <v>795</v>
      </c>
      <c r="E589" s="49" t="s">
        <v>798</v>
      </c>
      <c r="F589" s="50">
        <v>1</v>
      </c>
      <c r="G589" s="52">
        <v>19.850000000000001</v>
      </c>
      <c r="H589" s="51">
        <v>0</v>
      </c>
      <c r="I589" s="52">
        <f>Ordini!$G589/(1+Ordini!$H589)</f>
        <v>19.850000000000001</v>
      </c>
      <c r="J589" s="52">
        <v>2.5099999999999998</v>
      </c>
      <c r="K589" s="52" cm="1">
        <f t="array" ref="K589">IFERROR(
_xlfn.XLOOKUP(Ordini!E589,'Prodotti Magazzino'!$A$2:A10152,'Prodotti Magazzino'!$B$2:B10152),
_xlfn.XLOOKUP(Ordini!E589,'Prodotti drop'!$A$2:A10151,'Prodotti drop'!$B$2:B10151)
)*Ordini!F589</f>
        <v>7.7103999999999999</v>
      </c>
      <c r="L589" s="52" cm="1">
        <f t="array" ref="L589">_xlfn.LET(
_xlpm.stato,TRIM(Ordini!$M589),
_xlpm.sku,TRIM(Ordini!$E589),
_xlpm.paese,TRIM(Ordini!$C589),
_xlpm.andata,_xlfn.XLOOKUP(1,
    (TRIM(Logistica!$A$2:A10573)=_xlpm.sku)*
    (TRIM( Logistica!$B$2:B10573)=_xlpm.paese),
  Logistica!$C$2:C10573,
    0),
_xlpm.reso,_xlfn.XLOOKUP(1,
    (TRIM(Logistica!$A$2:A10573)=_xlpm.sku)*
    (TRIM(Logistica!$B$2:B10573)=_xlpm.paese),
    Logistica!$D$2:D10573,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4.3600000000000003</v>
      </c>
      <c r="M589" s="50" t="s">
        <v>34</v>
      </c>
      <c r="N589" s="50"/>
      <c r="O589" s="53">
        <f>Ordini!$K589+Ordini!$J589+Ordini!$L589</f>
        <v>14.580400000000001</v>
      </c>
      <c r="P589" s="53">
        <f>Ordini!$I589-Ordini!$O589</f>
        <v>5.2696000000000005</v>
      </c>
      <c r="Q589" s="50" t="str">
        <f>IF(Ordini!$P589&lt;0,"DA EVITARE","OK")</f>
        <v>OK</v>
      </c>
      <c r="R589" s="50"/>
    </row>
    <row r="590" spans="1:18" s="62" customFormat="1" x14ac:dyDescent="0.25">
      <c r="A590" s="48">
        <v>46199</v>
      </c>
      <c r="B590" s="49" t="s">
        <v>111</v>
      </c>
      <c r="C590" s="49" t="s">
        <v>20</v>
      </c>
      <c r="D590" s="49" t="s">
        <v>806</v>
      </c>
      <c r="E590" s="49" t="s">
        <v>44</v>
      </c>
      <c r="F590" s="50">
        <v>1</v>
      </c>
      <c r="G590" s="52">
        <v>46.03</v>
      </c>
      <c r="H590" s="51">
        <v>0</v>
      </c>
      <c r="I590" s="52">
        <f>Ordini!$G590/(1+Ordini!$H590)</f>
        <v>46.03</v>
      </c>
      <c r="J590" s="52">
        <f>3.5+0.92</f>
        <v>4.42</v>
      </c>
      <c r="K590" s="52" cm="1">
        <f t="array" ref="K590">IFERROR(
_xlfn.XLOOKUP(Ordini!E590,'Prodotti Magazzino'!$A$2:A10153,'Prodotti Magazzino'!$B$2:B10153),
_xlfn.XLOOKUP(Ordini!E590,'Prodotti drop'!$A$2:A10152,'Prodotti drop'!$B$2:B10152)
)*Ordini!F590</f>
        <v>20.970000000000002</v>
      </c>
      <c r="L590" s="52" cm="1">
        <f t="array" ref="L590">_xlfn.LET(
_xlpm.stato,TRIM(Ordini!$M590),
_xlpm.sku,TRIM(Ordini!$E590),
_xlpm.paese,TRIM(Ordini!$C590),
_xlpm.andata,_xlfn.XLOOKUP(1,
    (TRIM(Logistica!$A$2:A10574)=_xlpm.sku)*
    (TRIM( Logistica!$B$2:B10574)=_xlpm.paese),
  Logistica!$C$2:C10574,
    0),
_xlpm.reso,_xlfn.XLOOKUP(1,
    (TRIM(Logistica!$A$2:A10574)=_xlpm.sku)*
    (TRIM(Logistica!$B$2:B10574)=_xlpm.paese),
    Logistica!$D$2:D10574,
    0),
IF(
    _xlpm.stato="Non pagato",
    _xlpm.andata,
    IF(
        OR(_xlpm.stato="Pagato",_xlpm.stato="RimborsatoNoReso"),
        _xlpm.andata,
        IF(
            OR(_xlpm.stato="Reso",_xlpm.stato="RimborsatoReso"),
            _xlpm.andata+_xlpm.reso,
            0
        )
    )
)
)</f>
        <v>4.8499999999999996</v>
      </c>
      <c r="M590" s="50" t="s">
        <v>34</v>
      </c>
      <c r="N590" s="50"/>
      <c r="O590" s="53">
        <f>Ordini!$K590+Ordini!$J590+Ordini!$L590</f>
        <v>30.240000000000002</v>
      </c>
      <c r="P590" s="53">
        <f>Ordini!$I590-Ordini!$O590</f>
        <v>15.79</v>
      </c>
      <c r="Q590" s="50" t="str">
        <f>IF(Ordini!$P590&lt;0,"DA EVITARE","OK")</f>
        <v>OK</v>
      </c>
      <c r="R590" s="50"/>
    </row>
  </sheetData>
  <autoFilter ref="A1:Q590" xr:uid="{00000000-0001-0000-0000-000000000000}"/>
  <dataConsolidate/>
  <phoneticPr fontId="8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64C35D4-3285-4EA2-A0B4-F9E7966DA824}">
          <x14:formula1>
            <xm:f>'Colonne dati'!$B$7:$B$10</xm:f>
          </x14:formula1>
          <xm:sqref>I423:I425 H1:H422 I591:I1048576 H426:H590</xm:sqref>
        </x14:dataValidation>
        <x14:dataValidation type="list" allowBlank="1" showInputMessage="1" showErrorMessage="1" xr:uid="{F5E188F9-6247-46C3-8A72-BD94D3842B32}">
          <x14:formula1>
            <xm:f>'Prodotti Magazzino'!$A$2:$A$1000</xm:f>
          </x14:formula1>
          <xm:sqref>E1 E423:E425</xm:sqref>
        </x14:dataValidation>
        <x14:dataValidation type="list" allowBlank="1" showInputMessage="1" showErrorMessage="1" xr:uid="{D3F04202-156E-40DF-9C44-B1780A2D19E5}">
          <x14:formula1>
            <xm:f>'Colonne dati'!$B$2:$B$6</xm:f>
          </x14:formula1>
          <xm:sqref>P423:P425 P591:P1048576 M1:M422 M426:M590</xm:sqref>
        </x14:dataValidation>
        <x14:dataValidation type="list" allowBlank="1" showInputMessage="1" xr:uid="{07AC781E-6365-4AB3-AD9D-4CF4962D3B23}">
          <x14:formula1>
            <xm:f>'Prodotti Magazzino'!$A$2:$A$4000</xm:f>
          </x14:formula1>
          <xm:sqref>E426:E452 E2:E422</xm:sqref>
        </x14:dataValidation>
        <x14:dataValidation type="list" allowBlank="1" showInputMessage="1" xr:uid="{B09DF9B8-2E22-469A-B3CC-6C228C3B07E4}">
          <x14:formula1>
            <xm:f>'Prodotti Magazzino'!$A$2:$A$1000</xm:f>
          </x14:formula1>
          <xm:sqref>E453:E1048576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164D-3D66-4AB9-AAEF-C1DCA4CBB1C6}">
  <sheetPr>
    <tabColor theme="9" tint="-0.499984740745262"/>
  </sheetPr>
  <dimension ref="A1:R46"/>
  <sheetViews>
    <sheetView zoomScaleNormal="100" workbookViewId="0">
      <pane ySplit="1" topLeftCell="A29" activePane="bottomLeft" state="frozen"/>
      <selection pane="bottomLeft" activeCell="A46" sqref="A46"/>
    </sheetView>
  </sheetViews>
  <sheetFormatPr defaultRowHeight="15" x14ac:dyDescent="0.25"/>
  <cols>
    <col min="1" max="1" width="39.7109375" bestFit="1" customWidth="1"/>
    <col min="2" max="4" width="16.5703125" customWidth="1"/>
    <col min="5" max="6" width="20.28515625" customWidth="1"/>
    <col min="7" max="7" width="20.5703125" customWidth="1"/>
    <col min="8" max="8" width="15.85546875" customWidth="1"/>
    <col min="9" max="9" width="18.42578125" customWidth="1"/>
    <col min="10" max="10" width="22" bestFit="1" customWidth="1"/>
    <col min="11" max="11" width="25.140625" customWidth="1"/>
    <col min="12" max="12" width="18" customWidth="1"/>
    <col min="13" max="13" width="20.7109375" customWidth="1"/>
    <col min="14" max="14" width="16.42578125" bestFit="1" customWidth="1"/>
    <col min="15" max="15" width="16.42578125" customWidth="1"/>
    <col min="16" max="16" width="10.28515625" customWidth="1"/>
  </cols>
  <sheetData>
    <row r="1" spans="1:18" x14ac:dyDescent="0.25">
      <c r="A1" s="9" t="s">
        <v>4</v>
      </c>
      <c r="B1" s="9" t="s">
        <v>5</v>
      </c>
      <c r="C1" s="10" t="s">
        <v>404</v>
      </c>
      <c r="D1" s="9" t="s">
        <v>35</v>
      </c>
      <c r="E1" s="9" t="s">
        <v>38</v>
      </c>
      <c r="F1" s="9" t="s">
        <v>401</v>
      </c>
      <c r="G1" s="9" t="s">
        <v>39</v>
      </c>
      <c r="H1" s="9" t="s">
        <v>12</v>
      </c>
      <c r="I1" s="9" t="s">
        <v>13</v>
      </c>
      <c r="J1" s="9"/>
      <c r="K1" s="9" t="s">
        <v>30</v>
      </c>
      <c r="L1" s="9" t="s">
        <v>31</v>
      </c>
      <c r="M1" s="9" t="s">
        <v>33</v>
      </c>
      <c r="N1" s="9" t="s">
        <v>32</v>
      </c>
      <c r="O1" s="9" t="s">
        <v>41</v>
      </c>
      <c r="P1" s="9" t="s">
        <v>14</v>
      </c>
      <c r="Q1" s="9" t="s">
        <v>15</v>
      </c>
    </row>
    <row r="2" spans="1:18" ht="15" customHeight="1" x14ac:dyDescent="0.25">
      <c r="A2" s="11" t="s">
        <v>42</v>
      </c>
      <c r="B2" s="12">
        <v>17.53</v>
      </c>
      <c r="C2" s="12">
        <f>IFERROR(
IF(_xlfn.XLOOKUP(A2,Carichi!B:B,Carichi!D:D)="",
B2,
_xlfn.XLOOKUP(A2,Carichi!B:B,Carichi!D:D)
),
B2
)</f>
        <v>17.53</v>
      </c>
      <c r="D2" s="13">
        <v>0</v>
      </c>
      <c r="E2" s="14">
        <f>D2
+SUMIF(Carichi!B:B,A2,Carichi!C:C)-F2+G2</f>
        <v>0</v>
      </c>
      <c r="F2" s="14">
        <f>SUMIF(Ordini!E:E,TRIM(A2),Ordini!F:F)</f>
        <v>0</v>
      </c>
      <c r="G2" s="14">
        <f>SUMIFS(Ordini!N:N,Ordini!E:E,A2,Ordini!M:M,"Reso")+SUMIFS(Ordini!N:N,Ordini!E:E,A2,Ordini!M:M,"RimborsatoReso")</f>
        <v>0</v>
      </c>
      <c r="H2" s="11">
        <v>10</v>
      </c>
      <c r="I2" s="15">
        <f>IFERROR(SUMIFS(Ordini!F:F,Ordini!E:E,A2)/30,1)</f>
        <v>0</v>
      </c>
      <c r="J2" s="15" t="str">
        <f>IF(I2&lt;=0,"NESSUNA ROTAZIONE","ROT: 1 pz ogni "&amp;ROUND(1/I2,0)&amp;" gg")</f>
        <v>NESSUNA ROTAZIONE</v>
      </c>
      <c r="K2" s="15" t="str">
        <f>IF(OR('Prodotti Magazzino'!$I2=0,'Prodotti Magazzino'!$I2=""),
"NESSUNA VENDITA",
ROUND('Prodotti Magazzino'!$E2/'Prodotti Magazzino'!$I2,0)
)</f>
        <v>NESSUNA VENDITA</v>
      </c>
      <c r="L2" s="11">
        <f>ROUND(IF('Prodotti Magazzino'!$I2&lt;=0,0,'Prodotti Magazzino'!$I2*('Prodotti Magazzino'!$H2+7)),0)</f>
        <v>0</v>
      </c>
      <c r="M2" s="11">
        <f t="shared" ref="M2:M4" si="0">ROUND(MAX(0,(I2*(H2+14))-E2),0)</f>
        <v>0</v>
      </c>
      <c r="N2" s="11" t="str">
        <f t="shared" ref="N2:N4" si="1">IF(E2 &lt; I2*H2,"ORDINA SUBITO",
IF(E2 &lt; I2*(H2+14),"PREPARA",
"OK"))</f>
        <v>OK</v>
      </c>
      <c r="O2" s="12">
        <f>'Prodotti Magazzino'!$E2*'Prodotti Magazzino'!$B2</f>
        <v>0</v>
      </c>
      <c r="P2" s="11"/>
      <c r="Q2" s="11"/>
    </row>
    <row r="3" spans="1:18" x14ac:dyDescent="0.25">
      <c r="A3" s="16" t="s">
        <v>43</v>
      </c>
      <c r="B3" s="17">
        <f>11.11+1.62</f>
        <v>12.73</v>
      </c>
      <c r="C3" s="17">
        <f>IFERROR(
IF(_xlfn.XLOOKUP(A3,Carichi!B:B,Carichi!D:D)="",
B3,
_xlfn.XLOOKUP(A3,Carichi!B:B,Carichi!D:D)
),
B3
)</f>
        <v>12.73</v>
      </c>
      <c r="D3" s="18">
        <v>0</v>
      </c>
      <c r="E3" s="19">
        <f>D3
+SUMIF(Carichi!B:B,A3,Carichi!C:C)-F3+G3</f>
        <v>0</v>
      </c>
      <c r="F3" s="35">
        <f>SUMIF(Ordini!E:E,TRIM(A3),Ordini!F:F)</f>
        <v>0</v>
      </c>
      <c r="G3" s="19">
        <f>SUMIFS(Ordini!N:N,Ordini!E:E,A3,Ordini!M:M,"Reso")+SUMIFS(Ordini!N:N,Ordini!E:E,A3,Ordini!M:M,"RimborsatoReso")</f>
        <v>0</v>
      </c>
      <c r="H3" s="16">
        <v>10</v>
      </c>
      <c r="I3" s="20">
        <f>IFERROR(SUMIFS(Ordini!F:F,Ordini!E:E,A3)/30,1)</f>
        <v>0</v>
      </c>
      <c r="J3" s="20" t="str">
        <f t="shared" ref="J3:J40" si="2">IF(I3&lt;=0,"NESSUNA ROTAZIONE","ROT: 1 pz ogni "&amp;ROUND(1/I3,0)&amp;" gg")</f>
        <v>NESSUNA ROTAZIONE</v>
      </c>
      <c r="K3" s="21" t="str">
        <f>IF(OR('Prodotti Magazzino'!$I3=0,'Prodotti Magazzino'!$I3=""),
"NESSUNA VENDITA",
ROUND('Prodotti Magazzino'!$E3/'Prodotti Magazzino'!$I3,0)
)</f>
        <v>NESSUNA VENDITA</v>
      </c>
      <c r="L3" s="16">
        <f>ROUND(IF('Prodotti Magazzino'!$I3&lt;=0,0,'Prodotti Magazzino'!$I3*('Prodotti Magazzino'!$H3+7)),0)</f>
        <v>0</v>
      </c>
      <c r="M3" s="16">
        <f t="shared" si="0"/>
        <v>0</v>
      </c>
      <c r="N3" s="16" t="str">
        <f t="shared" si="1"/>
        <v>OK</v>
      </c>
      <c r="O3" s="17">
        <f>'Prodotti Magazzino'!$E3*'Prodotti Magazzino'!$B3</f>
        <v>0</v>
      </c>
      <c r="P3" s="16"/>
      <c r="Q3" s="16"/>
    </row>
    <row r="4" spans="1:18" x14ac:dyDescent="0.25">
      <c r="A4" s="11" t="s">
        <v>44</v>
      </c>
      <c r="B4" s="12">
        <f>19.35+1.62</f>
        <v>20.970000000000002</v>
      </c>
      <c r="C4" s="12">
        <f>IFERROR(
IF(_xlfn.XLOOKUP(A4,Carichi!B:B,Carichi!D:D)="",
B4,
_xlfn.XLOOKUP(A4,Carichi!B:B,Carichi!D:D)
),
B4
)</f>
        <v>22.95</v>
      </c>
      <c r="D4" s="13">
        <v>5</v>
      </c>
      <c r="E4" s="14">
        <f>D4
+SUMIF(Carichi!B:B,A4,Carichi!C:C)-F4+G4</f>
        <v>-1</v>
      </c>
      <c r="F4" s="14">
        <f>SUMIF(Ordini!E:E,TRIM(A4),Ordini!F:F)</f>
        <v>26</v>
      </c>
      <c r="G4" s="14">
        <f>SUMIFS(Ordini!N:N,Ordini!E:E,A4,Ordini!M:M,"Reso")+SUMIFS(Ordini!N:N,Ordini!E:E,A4,Ordini!M:M,"RimborsatoReso")</f>
        <v>0</v>
      </c>
      <c r="H4" s="11">
        <v>10</v>
      </c>
      <c r="I4" s="15">
        <f>IFERROR(SUMIFS(Ordini!F:F,Ordini!E:E,A4)/30,1)</f>
        <v>0.8666666666666667</v>
      </c>
      <c r="J4" s="15" t="str">
        <f t="shared" si="2"/>
        <v>ROT: 1 pz ogni 1 gg</v>
      </c>
      <c r="K4" s="15">
        <f>IF(OR('Prodotti Magazzino'!$I4=0,'Prodotti Magazzino'!$I4=""),
"NESSUNA VENDITA",
ROUND('Prodotti Magazzino'!$E4/'Prodotti Magazzino'!$I4,0)
)</f>
        <v>-1</v>
      </c>
      <c r="L4" s="11">
        <f>ROUND(IF('Prodotti Magazzino'!$I4&lt;=0,0,'Prodotti Magazzino'!$I4*('Prodotti Magazzino'!$H4+7)),0)</f>
        <v>15</v>
      </c>
      <c r="M4" s="11">
        <f t="shared" si="0"/>
        <v>22</v>
      </c>
      <c r="N4" s="11" t="str">
        <f t="shared" si="1"/>
        <v>ORDINA SUBITO</v>
      </c>
      <c r="O4" s="12">
        <f>'Prodotti Magazzino'!$E4*'Prodotti Magazzino'!$B4</f>
        <v>-20.970000000000002</v>
      </c>
      <c r="P4" s="11"/>
      <c r="Q4" s="11"/>
    </row>
    <row r="5" spans="1:18" x14ac:dyDescent="0.25">
      <c r="A5" s="16" t="s">
        <v>45</v>
      </c>
      <c r="B5" s="17">
        <f>3.84+1.62</f>
        <v>5.46</v>
      </c>
      <c r="C5" s="17">
        <f>IFERROR(
IF(_xlfn.XLOOKUP(A5,Carichi!B:B,Carichi!D:D)="",
B5,
_xlfn.XLOOKUP(A5,Carichi!B:B,Carichi!D:D)
),
B5
)</f>
        <v>5.46</v>
      </c>
      <c r="D5" s="18">
        <v>0</v>
      </c>
      <c r="E5" s="19">
        <f>D5
+SUMIF(Carichi!B:B,A5,Carichi!C:C)-F5+G5</f>
        <v>0</v>
      </c>
      <c r="F5" s="35">
        <f>SUMIF(Ordini!E:E,TRIM(A5),Ordini!F:F)</f>
        <v>0</v>
      </c>
      <c r="G5" s="19">
        <f>SUMIFS(Ordini!N:N,Ordini!E:E,A5,Ordini!M:M,"Reso")+SUMIFS(Ordini!N:N,Ordini!E:E,A5,Ordini!M:M,"RimborsatoReso")</f>
        <v>0</v>
      </c>
      <c r="H5" s="16">
        <v>10</v>
      </c>
      <c r="I5" s="20">
        <f>IFERROR(SUMIFS(Ordini!F:F,Ordini!E:E,A5)/30,1)</f>
        <v>0</v>
      </c>
      <c r="J5" s="20" t="str">
        <f t="shared" si="2"/>
        <v>NESSUNA ROTAZIONE</v>
      </c>
      <c r="K5" s="21" t="str">
        <f>IF(OR('Prodotti Magazzino'!$I5=0,'Prodotti Magazzino'!$I5=""),
"NESSUNA VENDITA",
ROUND('Prodotti Magazzino'!$E5/'Prodotti Magazzino'!$I5,0)
)</f>
        <v>NESSUNA VENDITA</v>
      </c>
      <c r="L5" s="22">
        <f>ROUND(IF('Prodotti Magazzino'!$I5&lt;=0,0,'Prodotti Magazzino'!$I5*('Prodotti Magazzino'!$H5+7)),0)</f>
        <v>0</v>
      </c>
      <c r="M5" s="22">
        <f t="shared" ref="M5:M39" si="3">ROUND(MAX(0,(I5*(H5+14))-E5),0)</f>
        <v>0</v>
      </c>
      <c r="N5" s="22" t="str">
        <f t="shared" ref="N5:N39" si="4">IF(E5 &lt; I5*H5,"ORDINA SUBITO",
IF(E5 &lt; I5*(H5+14),"PREPARA",
"OK"))</f>
        <v>OK</v>
      </c>
      <c r="O5" s="17">
        <f>'Prodotti Magazzino'!$E5*'Prodotti Magazzino'!$B5</f>
        <v>0</v>
      </c>
      <c r="P5" s="16"/>
      <c r="Q5" s="16"/>
    </row>
    <row r="6" spans="1:18" x14ac:dyDescent="0.25">
      <c r="A6" s="11" t="s">
        <v>46</v>
      </c>
      <c r="B6" s="12">
        <f>9.2+1.62</f>
        <v>10.82</v>
      </c>
      <c r="C6" s="12">
        <f>IFERROR(
IF(_xlfn.XLOOKUP(A6,Carichi!B:B,Carichi!D:D)="",
B6,
_xlfn.XLOOKUP(A6,Carichi!B:B,Carichi!D:D)
),
B6
)</f>
        <v>10.82</v>
      </c>
      <c r="D6" s="13">
        <v>7</v>
      </c>
      <c r="E6" s="14">
        <f>D6
+SUMIF(Carichi!B:B,A6,Carichi!C:C)-F6+G6</f>
        <v>0</v>
      </c>
      <c r="F6" s="14">
        <f>SUMIF(Ordini!E:E,TRIM(A6),Ordini!F:F)</f>
        <v>7</v>
      </c>
      <c r="G6" s="14">
        <f>SUMIFS(Ordini!N:N,Ordini!E:E,A6,Ordini!M:M,"Reso")+SUMIFS(Ordini!N:N,Ordini!E:E,A6,Ordini!M:M,"RimborsatoReso")</f>
        <v>0</v>
      </c>
      <c r="H6" s="11">
        <v>10</v>
      </c>
      <c r="I6" s="15">
        <f>IFERROR(SUMIFS(Ordini!F:F,Ordini!E:E,A6)/30,1)</f>
        <v>0.23333333333333334</v>
      </c>
      <c r="J6" s="15" t="str">
        <f t="shared" si="2"/>
        <v>ROT: 1 pz ogni 4 gg</v>
      </c>
      <c r="K6" s="15">
        <f>IF(OR('Prodotti Magazzino'!$I6=0,'Prodotti Magazzino'!$I6=""),
"NESSUNA VENDITA",
ROUND('Prodotti Magazzino'!$E6/'Prodotti Magazzino'!$I6,0)
)</f>
        <v>0</v>
      </c>
      <c r="L6" s="23">
        <f>ROUND(IF('Prodotti Magazzino'!$I6&lt;=0,0,'Prodotti Magazzino'!$I6*('Prodotti Magazzino'!$H6+7)),0)</f>
        <v>4</v>
      </c>
      <c r="M6" s="23">
        <f t="shared" si="3"/>
        <v>6</v>
      </c>
      <c r="N6" s="23" t="str">
        <f t="shared" si="4"/>
        <v>ORDINA SUBITO</v>
      </c>
      <c r="O6" s="12">
        <f>'Prodotti Magazzino'!$E6*'Prodotti Magazzino'!$B6</f>
        <v>0</v>
      </c>
      <c r="P6" s="11"/>
      <c r="Q6" s="11"/>
    </row>
    <row r="7" spans="1:18" x14ac:dyDescent="0.25">
      <c r="A7" s="16" t="s">
        <v>47</v>
      </c>
      <c r="B7" s="17">
        <f>13.8+4.68</f>
        <v>18.48</v>
      </c>
      <c r="C7" s="17">
        <f>IFERROR(
IF(_xlfn.XLOOKUP(A7,Carichi!B:B,Carichi!D:D)="",
B7,
_xlfn.XLOOKUP(A7,Carichi!B:B,Carichi!D:D)
),
B7
)</f>
        <v>18.48</v>
      </c>
      <c r="D7" s="18">
        <v>1</v>
      </c>
      <c r="E7" s="19">
        <f>D7
+SUMIF(Carichi!B:B,A7,Carichi!C:C)-F7+G7</f>
        <v>0</v>
      </c>
      <c r="F7" s="35">
        <f>SUMIF(Ordini!E:E,TRIM(A7),Ordini!F:F)</f>
        <v>1</v>
      </c>
      <c r="G7" s="19">
        <f>SUMIFS(Ordini!N:N,Ordini!E:E,A7,Ordini!M:M,"Reso")+SUMIFS(Ordini!N:N,Ordini!E:E,A7,Ordini!M:M,"RimborsatoReso")</f>
        <v>0</v>
      </c>
      <c r="H7" s="16">
        <v>10</v>
      </c>
      <c r="I7" s="20">
        <f>IFERROR(SUMIFS(Ordini!F:F,Ordini!E:E,A7)/30,1)</f>
        <v>3.3333333333333333E-2</v>
      </c>
      <c r="J7" s="20" t="str">
        <f t="shared" si="2"/>
        <v>ROT: 1 pz ogni 30 gg</v>
      </c>
      <c r="K7" s="21">
        <f>IF(OR('Prodotti Magazzino'!$I7=0,'Prodotti Magazzino'!$I7=""),
"NESSUNA VENDITA",
ROUND('Prodotti Magazzino'!$E7/'Prodotti Magazzino'!$I7,0)
)</f>
        <v>0</v>
      </c>
      <c r="L7" s="22">
        <f>ROUND(IF('Prodotti Magazzino'!$I7&lt;=0,0,'Prodotti Magazzino'!$I7*('Prodotti Magazzino'!$H7+7)),0)</f>
        <v>1</v>
      </c>
      <c r="M7" s="22">
        <f t="shared" si="3"/>
        <v>1</v>
      </c>
      <c r="N7" s="22" t="str">
        <f t="shared" si="4"/>
        <v>ORDINA SUBITO</v>
      </c>
      <c r="O7" s="17">
        <f>'Prodotti Magazzino'!$E7*'Prodotti Magazzino'!$B7</f>
        <v>0</v>
      </c>
      <c r="P7" s="16"/>
      <c r="Q7" s="16"/>
    </row>
    <row r="8" spans="1:18" x14ac:dyDescent="0.25">
      <c r="A8" s="11" t="s">
        <v>48</v>
      </c>
      <c r="B8" s="12">
        <f>17.25+1.62</f>
        <v>18.87</v>
      </c>
      <c r="C8" s="12">
        <f>IFERROR(
IF(_xlfn.XLOOKUP(A8,Carichi!B:B,Carichi!D:D)="",
B8,
_xlfn.XLOOKUP(A8,Carichi!B:B,Carichi!D:D)
),
B8
)</f>
        <v>18.87</v>
      </c>
      <c r="D8" s="13">
        <v>0</v>
      </c>
      <c r="E8" s="14">
        <f>D8
+SUMIF(Carichi!B:B,A8,Carichi!C:C)-F8+G8</f>
        <v>0</v>
      </c>
      <c r="F8" s="14">
        <f>SUMIF(Ordini!E:E,TRIM(A8),Ordini!F:F)</f>
        <v>0</v>
      </c>
      <c r="G8" s="14">
        <f>SUMIFS(Ordini!N:N,Ordini!E:E,A8,Ordini!M:M,"Reso")+SUMIFS(Ordini!N:N,Ordini!E:E,A8,Ordini!M:M,"RimborsatoReso")</f>
        <v>0</v>
      </c>
      <c r="H8" s="11">
        <v>10</v>
      </c>
      <c r="I8" s="15">
        <f>IFERROR(SUMIFS(Ordini!F:F,Ordini!E:E,A8)/30,1)</f>
        <v>0</v>
      </c>
      <c r="J8" s="15" t="str">
        <f t="shared" si="2"/>
        <v>NESSUNA ROTAZIONE</v>
      </c>
      <c r="K8" s="15" t="str">
        <f>IF(OR('Prodotti Magazzino'!$I8=0,'Prodotti Magazzino'!$I8=""),
"NESSUNA VENDITA",
ROUND('Prodotti Magazzino'!$E8/'Prodotti Magazzino'!$I8,0)
)</f>
        <v>NESSUNA VENDITA</v>
      </c>
      <c r="L8" s="23">
        <f>ROUND(IF('Prodotti Magazzino'!$I8&lt;=0,0,'Prodotti Magazzino'!$I8*('Prodotti Magazzino'!$H8+7)),0)</f>
        <v>0</v>
      </c>
      <c r="M8" s="23">
        <f t="shared" si="3"/>
        <v>0</v>
      </c>
      <c r="N8" s="23" t="str">
        <f t="shared" si="4"/>
        <v>OK</v>
      </c>
      <c r="O8" s="12">
        <f>'Prodotti Magazzino'!$E8*'Prodotti Magazzino'!$B8</f>
        <v>0</v>
      </c>
      <c r="P8" s="11"/>
      <c r="Q8" s="11"/>
    </row>
    <row r="9" spans="1:18" x14ac:dyDescent="0.25">
      <c r="A9" s="16" t="s">
        <v>49</v>
      </c>
      <c r="B9" s="17">
        <f>2.68+1.62</f>
        <v>4.3000000000000007</v>
      </c>
      <c r="C9" s="17">
        <f>IFERROR(
IF(_xlfn.XLOOKUP(A9,Carichi!B:B,Carichi!D:D)="",
B9,
_xlfn.XLOOKUP(A9,Carichi!B:B,Carichi!D:D)
),
B9
)</f>
        <v>4.3000000000000007</v>
      </c>
      <c r="D9" s="18">
        <v>1</v>
      </c>
      <c r="E9" s="19">
        <f>D9
+SUMIF(Carichi!B:B,A9,Carichi!C:C)-F9+G9</f>
        <v>1</v>
      </c>
      <c r="F9" s="35">
        <f>SUMIF(Ordini!E:E,TRIM(A9),Ordini!F:F)</f>
        <v>1</v>
      </c>
      <c r="G9" s="19">
        <f>SUMIFS(Ordini!N:N,Ordini!E:E,A9,Ordini!M:M,"Reso")+SUMIFS(Ordini!N:N,Ordini!E:E,A9,Ordini!M:M,"RimborsatoReso")</f>
        <v>1</v>
      </c>
      <c r="H9" s="16">
        <v>10</v>
      </c>
      <c r="I9" s="20">
        <f>IFERROR(SUMIFS(Ordini!F:F,Ordini!E:E,A9)/30,1)</f>
        <v>3.3333333333333333E-2</v>
      </c>
      <c r="J9" s="20" t="str">
        <f t="shared" si="2"/>
        <v>ROT: 1 pz ogni 30 gg</v>
      </c>
      <c r="K9" s="21">
        <f>IF(OR('Prodotti Magazzino'!$I9=0,'Prodotti Magazzino'!$I9=""),
"NESSUNA VENDITA",
ROUND('Prodotti Magazzino'!$E9/'Prodotti Magazzino'!$I9,0)
)</f>
        <v>30</v>
      </c>
      <c r="L9" s="22">
        <f>ROUND(IF('Prodotti Magazzino'!$I9&lt;=0,0,'Prodotti Magazzino'!$I9*('Prodotti Magazzino'!$H9+7)),0)</f>
        <v>1</v>
      </c>
      <c r="M9" s="22">
        <f t="shared" si="3"/>
        <v>0</v>
      </c>
      <c r="N9" s="22" t="str">
        <f t="shared" si="4"/>
        <v>OK</v>
      </c>
      <c r="O9" s="17">
        <f>'Prodotti Magazzino'!$E9*'Prodotti Magazzino'!$B9</f>
        <v>4.3000000000000007</v>
      </c>
      <c r="P9" s="16"/>
      <c r="Q9" s="16"/>
    </row>
    <row r="10" spans="1:18" x14ac:dyDescent="0.25">
      <c r="A10" s="11" t="s">
        <v>50</v>
      </c>
      <c r="B10" s="12">
        <f>4.79+1.62</f>
        <v>6.41</v>
      </c>
      <c r="C10" s="12">
        <f>IFERROR(
IF(_xlfn.XLOOKUP(A10,Carichi!B:B,Carichi!D:D)="",
B10,
_xlfn.XLOOKUP(A10,Carichi!B:B,Carichi!D:D)
),
B10
)</f>
        <v>6.9</v>
      </c>
      <c r="D10" s="13">
        <v>12</v>
      </c>
      <c r="E10" s="14">
        <f>D10
+SUMIF(Carichi!B:B,A10,Carichi!C:C)-F10+G10</f>
        <v>2</v>
      </c>
      <c r="F10" s="14">
        <f>SUMIF(Ordini!E:E,TRIM(A10),Ordini!F:F)</f>
        <v>46</v>
      </c>
      <c r="G10" s="14">
        <f>SUMIFS(Ordini!N:N,Ordini!E:E,A10,Ordini!M:M,"Reso")+SUMIFS(Ordini!N:N,Ordini!E:E,A10,Ordini!M:M,"RimborsatoReso")</f>
        <v>1</v>
      </c>
      <c r="H10" s="11">
        <v>10</v>
      </c>
      <c r="I10" s="15">
        <f>IFERROR(SUMIFS(Ordini!F:F,Ordini!E:E,A10)/30,1)</f>
        <v>1.5333333333333334</v>
      </c>
      <c r="J10" s="15" t="str">
        <f t="shared" si="2"/>
        <v>ROT: 1 pz ogni 1 gg</v>
      </c>
      <c r="K10" s="15">
        <f>IF(OR('Prodotti Magazzino'!$I10=0,'Prodotti Magazzino'!$I10=""),
"NESSUNA VENDITA",
ROUND('Prodotti Magazzino'!$E10/'Prodotti Magazzino'!$I10,0)
)</f>
        <v>1</v>
      </c>
      <c r="L10" s="23">
        <f>ROUND(IF('Prodotti Magazzino'!$I10&lt;=0,0,'Prodotti Magazzino'!$I10*('Prodotti Magazzino'!$H10+7)),0)</f>
        <v>26</v>
      </c>
      <c r="M10" s="23">
        <f t="shared" si="3"/>
        <v>35</v>
      </c>
      <c r="N10" s="23" t="str">
        <f t="shared" si="4"/>
        <v>ORDINA SUBITO</v>
      </c>
      <c r="O10" s="12">
        <f>'Prodotti Magazzino'!$E10*'Prodotti Magazzino'!$B10</f>
        <v>12.82</v>
      </c>
      <c r="P10" s="11"/>
      <c r="Q10" s="11"/>
    </row>
    <row r="11" spans="1:18" x14ac:dyDescent="0.25">
      <c r="A11" s="16" t="s">
        <v>51</v>
      </c>
      <c r="B11" s="17">
        <f>19.16+1.62</f>
        <v>20.78</v>
      </c>
      <c r="C11" s="17">
        <f>IFERROR(
IF(_xlfn.XLOOKUP(A11,Carichi!B:B,Carichi!D:D)="",
B11,
_xlfn.XLOOKUP(A11,Carichi!B:B,Carichi!D:D)
),
B11
)</f>
        <v>20.78</v>
      </c>
      <c r="D11" s="18">
        <v>0</v>
      </c>
      <c r="E11" s="19">
        <f>D11
+SUMIF(Carichi!B:B,A11,Carichi!C:C)-F11+G11</f>
        <v>0</v>
      </c>
      <c r="F11" s="35">
        <f>SUMIF(Ordini!E:E,TRIM(A11),Ordini!F:F)</f>
        <v>0</v>
      </c>
      <c r="G11" s="19">
        <f>SUMIFS(Ordini!N:N,Ordini!E:E,A11,Ordini!M:M,"Reso")+SUMIFS(Ordini!N:N,Ordini!E:E,A11,Ordini!M:M,"RimborsatoReso")</f>
        <v>0</v>
      </c>
      <c r="H11" s="16">
        <v>10</v>
      </c>
      <c r="I11" s="20">
        <f>IFERROR(SUMIFS(Ordini!F:F,Ordini!E:E,A11)/30,1)</f>
        <v>0</v>
      </c>
      <c r="J11" s="20" t="str">
        <f t="shared" si="2"/>
        <v>NESSUNA ROTAZIONE</v>
      </c>
      <c r="K11" s="21" t="str">
        <f>IF(OR('Prodotti Magazzino'!$I11=0,'Prodotti Magazzino'!$I11=""),
"NESSUNA VENDITA",
ROUND('Prodotti Magazzino'!$E11/'Prodotti Magazzino'!$I11,0)
)</f>
        <v>NESSUNA VENDITA</v>
      </c>
      <c r="L11" s="22">
        <f>ROUND(IF('Prodotti Magazzino'!$I11&lt;=0,0,'Prodotti Magazzino'!$I11*('Prodotti Magazzino'!$H11+7)),0)</f>
        <v>0</v>
      </c>
      <c r="M11" s="22">
        <f t="shared" si="3"/>
        <v>0</v>
      </c>
      <c r="N11" s="22" t="str">
        <f t="shared" si="4"/>
        <v>OK</v>
      </c>
      <c r="O11" s="17">
        <f>'Prodotti Magazzino'!$E11*'Prodotti Magazzino'!$B11</f>
        <v>0</v>
      </c>
      <c r="P11" s="16"/>
      <c r="Q11" s="16"/>
    </row>
    <row r="12" spans="1:18" x14ac:dyDescent="0.25">
      <c r="A12" s="11" t="s">
        <v>52</v>
      </c>
      <c r="B12" s="12">
        <f>12.46+1.62+4.68</f>
        <v>18.760000000000002</v>
      </c>
      <c r="C12" s="12">
        <f>IFERROR(
IF(_xlfn.XLOOKUP(A12,Carichi!B:B,Carichi!D:D)="",
B12,
_xlfn.XLOOKUP(A12,Carichi!B:B,Carichi!D:D)
),
B12
)</f>
        <v>18.760000000000002</v>
      </c>
      <c r="D12" s="13">
        <v>0</v>
      </c>
      <c r="E12" s="14">
        <f>D12
+SUMIF(Carichi!B:B,A12,Carichi!C:C)-F12+G12</f>
        <v>0</v>
      </c>
      <c r="F12" s="14">
        <f>SUMIF(Ordini!E:E,TRIM(A12),Ordini!F:F)</f>
        <v>0</v>
      </c>
      <c r="G12" s="14">
        <f>SUMIFS(Ordini!N:N,Ordini!E:E,A12,Ordini!M:M,"Reso")+SUMIFS(Ordini!N:N,Ordini!E:E,A12,Ordini!M:M,"RimborsatoReso")</f>
        <v>0</v>
      </c>
      <c r="H12" s="11">
        <v>10</v>
      </c>
      <c r="I12" s="15">
        <f>IFERROR(SUMIFS(Ordini!F:F,Ordini!E:E,A12)/30,1)</f>
        <v>0</v>
      </c>
      <c r="J12" s="15" t="str">
        <f t="shared" si="2"/>
        <v>NESSUNA ROTAZIONE</v>
      </c>
      <c r="K12" s="15" t="str">
        <f>IF(OR('Prodotti Magazzino'!$I12=0,'Prodotti Magazzino'!$I12=""),
"NESSUNA VENDITA",
ROUND('Prodotti Magazzino'!$E12/'Prodotti Magazzino'!$I12,0)
)</f>
        <v>NESSUNA VENDITA</v>
      </c>
      <c r="L12" s="23">
        <f>ROUND(IF('Prodotti Magazzino'!$I12&lt;=0,0,'Prodotti Magazzino'!$I12*('Prodotti Magazzino'!$H12+7)),0)</f>
        <v>0</v>
      </c>
      <c r="M12" s="23">
        <f t="shared" si="3"/>
        <v>0</v>
      </c>
      <c r="N12" s="23" t="str">
        <f t="shared" si="4"/>
        <v>OK</v>
      </c>
      <c r="O12" s="12">
        <f>'Prodotti Magazzino'!$E12*'Prodotti Magazzino'!$B12</f>
        <v>0</v>
      </c>
      <c r="P12" s="11"/>
      <c r="Q12" s="11"/>
    </row>
    <row r="13" spans="1:18" x14ac:dyDescent="0.25">
      <c r="A13" s="16" t="s">
        <v>53</v>
      </c>
      <c r="B13" s="17">
        <f>20.5+1.62</f>
        <v>22.12</v>
      </c>
      <c r="C13" s="17">
        <f>IFERROR(
IF(_xlfn.XLOOKUP(A13,Carichi!B:B,Carichi!D:D)="",
B13,
_xlfn.XLOOKUP(A13,Carichi!B:B,Carichi!D:D)
),
B13
)</f>
        <v>22.12</v>
      </c>
      <c r="D13" s="18">
        <v>0</v>
      </c>
      <c r="E13" s="19">
        <f>D13
+SUMIF(Carichi!B:B,A13,Carichi!C:C)-F13+G13</f>
        <v>0</v>
      </c>
      <c r="F13" s="35">
        <f>SUMIF(Ordini!E:E,TRIM(A13),Ordini!F:F)</f>
        <v>0</v>
      </c>
      <c r="G13" s="19">
        <f>SUMIFS(Ordini!N:N,Ordini!E:E,A13,Ordini!M:M,"Reso")+SUMIFS(Ordini!N:N,Ordini!E:E,A13,Ordini!M:M,"RimborsatoReso")</f>
        <v>0</v>
      </c>
      <c r="H13" s="16">
        <v>10</v>
      </c>
      <c r="I13" s="20">
        <f>IFERROR(SUMIFS(Ordini!F:F,Ordini!E:E,A13)/30,1)</f>
        <v>0</v>
      </c>
      <c r="J13" s="20" t="str">
        <f t="shared" si="2"/>
        <v>NESSUNA ROTAZIONE</v>
      </c>
      <c r="K13" s="21" t="str">
        <f>IF(OR('Prodotti Magazzino'!$I13=0,'Prodotti Magazzino'!$I13=""),
"NESSUNA VENDITA",
ROUND('Prodotti Magazzino'!$E13/'Prodotti Magazzino'!$I13,0)
)</f>
        <v>NESSUNA VENDITA</v>
      </c>
      <c r="L13" s="22">
        <f>ROUND(IF('Prodotti Magazzino'!$I13&lt;=0,0,'Prodotti Magazzino'!$I13*('Prodotti Magazzino'!$H13+7)),0)</f>
        <v>0</v>
      </c>
      <c r="M13" s="22">
        <f t="shared" si="3"/>
        <v>0</v>
      </c>
      <c r="N13" s="22" t="str">
        <f t="shared" si="4"/>
        <v>OK</v>
      </c>
      <c r="O13" s="17">
        <f>'Prodotti Magazzino'!$E13*'Prodotti Magazzino'!$B13</f>
        <v>0</v>
      </c>
      <c r="P13" s="16"/>
      <c r="Q13" s="16"/>
    </row>
    <row r="14" spans="1:18" x14ac:dyDescent="0.25">
      <c r="A14" s="11" t="s">
        <v>54</v>
      </c>
      <c r="B14" s="12">
        <f>8.82+1.62</f>
        <v>10.440000000000001</v>
      </c>
      <c r="C14" s="12">
        <f>IFERROR(
IF(_xlfn.XLOOKUP(A14,Carichi!B:B,Carichi!D:D)="",
B14,
_xlfn.XLOOKUP(A14,Carichi!B:B,Carichi!D:D)
),
B14
)</f>
        <v>10.440000000000001</v>
      </c>
      <c r="D14" s="13">
        <v>9</v>
      </c>
      <c r="E14" s="14">
        <f>D14
+SUMIF(Carichi!B:B,A14,Carichi!C:C)-F14+G14</f>
        <v>1</v>
      </c>
      <c r="F14" s="14">
        <f>SUMIF(Ordini!E:E,TRIM(A14),Ordini!F:F)</f>
        <v>9</v>
      </c>
      <c r="G14" s="14">
        <f>SUMIFS(Ordini!N:N,Ordini!E:E,A14,Ordini!M:M,"Reso")+SUMIFS(Ordini!N:N,Ordini!E:E,A14,Ordini!M:M,"RimborsatoReso")</f>
        <v>1</v>
      </c>
      <c r="H14" s="11">
        <v>10</v>
      </c>
      <c r="I14" s="15">
        <f>IFERROR(SUMIFS(Ordini!F:F,Ordini!E:E,A14)/30,1)</f>
        <v>0.3</v>
      </c>
      <c r="J14" s="15" t="str">
        <f t="shared" si="2"/>
        <v>ROT: 1 pz ogni 3 gg</v>
      </c>
      <c r="K14" s="15">
        <f>IF(OR('Prodotti Magazzino'!$I14=0,'Prodotti Magazzino'!$I14=""),
"NESSUNA VENDITA",
ROUND('Prodotti Magazzino'!$E14/'Prodotti Magazzino'!$I14,0)
)</f>
        <v>3</v>
      </c>
      <c r="L14" s="23">
        <f>ROUND(IF('Prodotti Magazzino'!$I14&lt;=0,0,'Prodotti Magazzino'!$I14*('Prodotti Magazzino'!$H14+7)),0)</f>
        <v>5</v>
      </c>
      <c r="M14" s="23">
        <f t="shared" si="3"/>
        <v>6</v>
      </c>
      <c r="N14" s="23" t="str">
        <f t="shared" si="4"/>
        <v>ORDINA SUBITO</v>
      </c>
      <c r="O14" s="12">
        <f>'Prodotti Magazzino'!$E14*'Prodotti Magazzino'!$B14</f>
        <v>10.440000000000001</v>
      </c>
      <c r="P14" s="11"/>
      <c r="Q14" s="11"/>
    </row>
    <row r="15" spans="1:18" x14ac:dyDescent="0.25">
      <c r="A15" s="16" t="s">
        <v>55</v>
      </c>
      <c r="B15" s="17">
        <f>5.36+1.62</f>
        <v>6.98</v>
      </c>
      <c r="C15" s="17">
        <f>IFERROR(
IF(_xlfn.XLOOKUP(A15,Carichi!B:B,Carichi!D:D)="",
B15,
_xlfn.XLOOKUP(A15,Carichi!B:B,Carichi!D:D)
),
B15
)</f>
        <v>6.98</v>
      </c>
      <c r="D15" s="18">
        <v>0</v>
      </c>
      <c r="E15" s="19">
        <f>D15
+SUMIF(Carichi!B:B,A15,Carichi!C:C)-F15+G15</f>
        <v>0</v>
      </c>
      <c r="F15" s="35">
        <f>SUMIF(Ordini!E:E,TRIM(A15),Ordini!F:F)</f>
        <v>0</v>
      </c>
      <c r="G15" s="19">
        <f>SUMIFS(Ordini!N:N,Ordini!E:E,A15,Ordini!M:M,"Reso")+SUMIFS(Ordini!N:N,Ordini!E:E,A15,Ordini!M:M,"RimborsatoReso")</f>
        <v>0</v>
      </c>
      <c r="H15" s="16">
        <v>10</v>
      </c>
      <c r="I15" s="20">
        <f>IFERROR(SUMIFS(Ordini!F:F,Ordini!E:E,A15)/30,1)</f>
        <v>0</v>
      </c>
      <c r="J15" s="20" t="str">
        <f t="shared" si="2"/>
        <v>NESSUNA ROTAZIONE</v>
      </c>
      <c r="K15" s="21" t="str">
        <f>IF(OR('Prodotti Magazzino'!$I15=0,'Prodotti Magazzino'!$I15=""),
"NESSUNA VENDITA",
ROUND('Prodotti Magazzino'!$E15/'Prodotti Magazzino'!$I15,0)
)</f>
        <v>NESSUNA VENDITA</v>
      </c>
      <c r="L15" s="22">
        <f>ROUND(IF('Prodotti Magazzino'!$I15&lt;=0,0,'Prodotti Magazzino'!$I15*('Prodotti Magazzino'!$H15+7)),0)</f>
        <v>0</v>
      </c>
      <c r="M15" s="22">
        <f t="shared" si="3"/>
        <v>0</v>
      </c>
      <c r="N15" s="22" t="str">
        <f t="shared" si="4"/>
        <v>OK</v>
      </c>
      <c r="O15" s="17">
        <f>'Prodotti Magazzino'!$E15*'Prodotti Magazzino'!$B15</f>
        <v>0</v>
      </c>
      <c r="P15" s="16"/>
      <c r="Q15" s="16"/>
    </row>
    <row r="16" spans="1:18" x14ac:dyDescent="0.25">
      <c r="A16" s="11" t="s">
        <v>56</v>
      </c>
      <c r="B16" s="12">
        <f>5+1.62</f>
        <v>6.62</v>
      </c>
      <c r="C16" s="12">
        <f>IFERROR(
IF(_xlfn.XLOOKUP(A16,Carichi!B:B,Carichi!D:D)="",
B16,
_xlfn.XLOOKUP(A16,Carichi!B:B,Carichi!D:D)
),
B16
)</f>
        <v>6.62</v>
      </c>
      <c r="D16" s="13">
        <v>22</v>
      </c>
      <c r="E16" s="14">
        <f>D16
+SUMIF(Carichi!B:B,A16,Carichi!C:C)-F16+G16</f>
        <v>0</v>
      </c>
      <c r="F16" s="14">
        <f>SUMIF(Ordini!E:E,TRIM(A16),Ordini!F:F)</f>
        <v>22</v>
      </c>
      <c r="G16" s="14">
        <f>SUMIFS(Ordini!N:N,Ordini!E:E,A16,Ordini!M:M,"Reso")+SUMIFS(Ordini!N:N,Ordini!E:E,A16,Ordini!M:M,"RimborsatoReso")</f>
        <v>0</v>
      </c>
      <c r="H16" s="11">
        <v>10</v>
      </c>
      <c r="I16" s="15">
        <f>IFERROR(SUMIFS(Ordini!F:F,Ordini!E:E,A16)/30,1)</f>
        <v>0.73333333333333328</v>
      </c>
      <c r="J16" s="15" t="str">
        <f t="shared" si="2"/>
        <v>ROT: 1 pz ogni 1 gg</v>
      </c>
      <c r="K16" s="15">
        <f>IF(OR('Prodotti Magazzino'!$I16=0,'Prodotti Magazzino'!$I16=""),
"NESSUNA VENDITA",
ROUND('Prodotti Magazzino'!$E16/'Prodotti Magazzino'!$I16,0)
)</f>
        <v>0</v>
      </c>
      <c r="L16" s="23">
        <f>ROUND(IF('Prodotti Magazzino'!$I16&lt;=0,0,'Prodotti Magazzino'!$I16*('Prodotti Magazzino'!$H16+7)),0)</f>
        <v>12</v>
      </c>
      <c r="M16" s="23">
        <f t="shared" si="3"/>
        <v>18</v>
      </c>
      <c r="N16" s="23" t="str">
        <f t="shared" si="4"/>
        <v>ORDINA SUBITO</v>
      </c>
      <c r="O16" s="12">
        <f>'Prodotti Magazzino'!$E16*'Prodotti Magazzino'!$B16</f>
        <v>0</v>
      </c>
      <c r="P16" s="11"/>
      <c r="Q16" s="11"/>
      <c r="R16" s="8"/>
    </row>
    <row r="17" spans="1:17" x14ac:dyDescent="0.25">
      <c r="A17" s="16" t="s">
        <v>57</v>
      </c>
      <c r="B17" s="17">
        <f>11.11+1.62</f>
        <v>12.73</v>
      </c>
      <c r="C17" s="17">
        <f>IFERROR(
IF(_xlfn.XLOOKUP(A17,Carichi!B:B,Carichi!D:D)="",
B17,
_xlfn.XLOOKUP(A17,Carichi!B:B,Carichi!D:D)
),
B17
)</f>
        <v>12.73</v>
      </c>
      <c r="D17" s="18">
        <v>0</v>
      </c>
      <c r="E17" s="19">
        <f>D17
+SUMIF(Carichi!B:B,A17,Carichi!C:C)-F17+G17</f>
        <v>0</v>
      </c>
      <c r="F17" s="35">
        <f>SUMIF(Ordini!E:E,TRIM(A17),Ordini!F:F)</f>
        <v>0</v>
      </c>
      <c r="G17" s="19">
        <f>SUMIFS(Ordini!N:N,Ordini!E:E,A17,Ordini!M:M,"Reso")+SUMIFS(Ordini!N:N,Ordini!E:E,A17,Ordini!M:M,"RimborsatoReso")</f>
        <v>0</v>
      </c>
      <c r="H17" s="16">
        <v>10</v>
      </c>
      <c r="I17" s="20">
        <f>IFERROR(SUMIFS(Ordini!F:F,Ordini!E:E,A17)/30,1)</f>
        <v>0</v>
      </c>
      <c r="J17" s="20" t="str">
        <f t="shared" si="2"/>
        <v>NESSUNA ROTAZIONE</v>
      </c>
      <c r="K17" s="21" t="str">
        <f>IF(OR('Prodotti Magazzino'!$I17=0,'Prodotti Magazzino'!$I17=""),
"NESSUNA VENDITA",
ROUND('Prodotti Magazzino'!$E17/'Prodotti Magazzino'!$I17,0)
)</f>
        <v>NESSUNA VENDITA</v>
      </c>
      <c r="L17" s="22">
        <f>ROUND(IF('Prodotti Magazzino'!$I17&lt;=0,0,'Prodotti Magazzino'!$I17*('Prodotti Magazzino'!$H17+7)),0)</f>
        <v>0</v>
      </c>
      <c r="M17" s="22">
        <f t="shared" si="3"/>
        <v>0</v>
      </c>
      <c r="N17" s="22" t="str">
        <f t="shared" si="4"/>
        <v>OK</v>
      </c>
      <c r="O17" s="17">
        <f>'Prodotti Magazzino'!$E17*'Prodotti Magazzino'!$B17</f>
        <v>0</v>
      </c>
      <c r="P17" s="16"/>
      <c r="Q17" s="16"/>
    </row>
    <row r="18" spans="1:17" x14ac:dyDescent="0.25">
      <c r="A18" s="11" t="s">
        <v>58</v>
      </c>
      <c r="B18" s="12">
        <f>6.9+1.62</f>
        <v>8.52</v>
      </c>
      <c r="C18" s="12">
        <f>IFERROR(
IF(_xlfn.XLOOKUP(A18,Carichi!B:B,Carichi!D:D)="",
B18,
_xlfn.XLOOKUP(A18,Carichi!B:B,Carichi!D:D)
),
B18
)</f>
        <v>8.52</v>
      </c>
      <c r="D18" s="13">
        <v>0</v>
      </c>
      <c r="E18" s="14">
        <f>D18
+SUMIF(Carichi!B:B,A18,Carichi!C:C)-F18+G18</f>
        <v>0</v>
      </c>
      <c r="F18" s="14">
        <f>SUMIF(Ordini!E:E,TRIM(A18),Ordini!F:F)</f>
        <v>0</v>
      </c>
      <c r="G18" s="14">
        <f>SUMIFS(Ordini!N:N,Ordini!E:E,A18,Ordini!M:M,"Reso")+SUMIFS(Ordini!N:N,Ordini!E:E,A18,Ordini!M:M,"RimborsatoReso")</f>
        <v>0</v>
      </c>
      <c r="H18" s="11">
        <v>10</v>
      </c>
      <c r="I18" s="15">
        <f>IFERROR(SUMIFS(Ordini!F:F,Ordini!E:E,A18)/30,1)</f>
        <v>0</v>
      </c>
      <c r="J18" s="15" t="str">
        <f t="shared" si="2"/>
        <v>NESSUNA ROTAZIONE</v>
      </c>
      <c r="K18" s="15" t="str">
        <f>IF(OR('Prodotti Magazzino'!$I18=0,'Prodotti Magazzino'!$I18=""),
"NESSUNA VENDITA",
ROUND('Prodotti Magazzino'!$E18/'Prodotti Magazzino'!$I18,0)
)</f>
        <v>NESSUNA VENDITA</v>
      </c>
      <c r="L18" s="23">
        <f>ROUND(IF('Prodotti Magazzino'!$I18&lt;=0,0,'Prodotti Magazzino'!$I18*('Prodotti Magazzino'!$H18+7)),0)</f>
        <v>0</v>
      </c>
      <c r="M18" s="23">
        <f t="shared" si="3"/>
        <v>0</v>
      </c>
      <c r="N18" s="23" t="str">
        <f t="shared" si="4"/>
        <v>OK</v>
      </c>
      <c r="O18" s="12">
        <f>'Prodotti Magazzino'!$E18*'Prodotti Magazzino'!$B18</f>
        <v>0</v>
      </c>
      <c r="P18" s="11"/>
      <c r="Q18" s="11"/>
    </row>
    <row r="19" spans="1:17" x14ac:dyDescent="0.25">
      <c r="A19" s="16" t="s">
        <v>59</v>
      </c>
      <c r="B19" s="17">
        <f>31.62+1.62</f>
        <v>33.24</v>
      </c>
      <c r="C19" s="17">
        <f>IFERROR(
IF(_xlfn.XLOOKUP(A19,Carichi!B:B,Carichi!D:D)="",
B19,
_xlfn.XLOOKUP(A19,Carichi!B:B,Carichi!D:D)
),
B19
)</f>
        <v>33.24</v>
      </c>
      <c r="D19" s="18">
        <v>0</v>
      </c>
      <c r="E19" s="19">
        <f>D19
+SUMIF(Carichi!B:B,A19,Carichi!C:C)-F19+G19</f>
        <v>0</v>
      </c>
      <c r="F19" s="35">
        <f>SUMIF(Ordini!E:E,TRIM(A19),Ordini!F:F)</f>
        <v>0</v>
      </c>
      <c r="G19" s="19">
        <f>SUMIFS(Ordini!N:N,Ordini!E:E,A19,Ordini!M:M,"Reso")+SUMIFS(Ordini!N:N,Ordini!E:E,A19,Ordini!M:M,"RimborsatoReso")</f>
        <v>0</v>
      </c>
      <c r="H19" s="16">
        <v>10</v>
      </c>
      <c r="I19" s="20">
        <f>IFERROR(SUMIFS(Ordini!F:F,Ordini!E:E,A19)/30,1)</f>
        <v>0</v>
      </c>
      <c r="J19" s="20" t="str">
        <f t="shared" si="2"/>
        <v>NESSUNA ROTAZIONE</v>
      </c>
      <c r="K19" s="21" t="str">
        <f>IF(OR('Prodotti Magazzino'!$I19=0,'Prodotti Magazzino'!$I19=""),
"NESSUNA VENDITA",
ROUND('Prodotti Magazzino'!$E19/'Prodotti Magazzino'!$I19,0)
)</f>
        <v>NESSUNA VENDITA</v>
      </c>
      <c r="L19" s="22">
        <f>ROUND(IF('Prodotti Magazzino'!$I19&lt;=0,0,'Prodotti Magazzino'!$I19*('Prodotti Magazzino'!$H19+7)),0)</f>
        <v>0</v>
      </c>
      <c r="M19" s="22">
        <f t="shared" si="3"/>
        <v>0</v>
      </c>
      <c r="N19" s="22" t="str">
        <f t="shared" si="4"/>
        <v>OK</v>
      </c>
      <c r="O19" s="17">
        <f>'Prodotti Magazzino'!$E19*'Prodotti Magazzino'!$B19</f>
        <v>0</v>
      </c>
      <c r="P19" s="16"/>
      <c r="Q19" s="16"/>
    </row>
    <row r="20" spans="1:17" x14ac:dyDescent="0.25">
      <c r="A20" s="11" t="s">
        <v>60</v>
      </c>
      <c r="B20" s="12">
        <f>38.14+1.62</f>
        <v>39.76</v>
      </c>
      <c r="C20" s="12">
        <f>IFERROR(
IF(_xlfn.XLOOKUP(A20,Carichi!B:B,Carichi!D:D)="",
B20,
_xlfn.XLOOKUP(A20,Carichi!B:B,Carichi!D:D)
),
B20
)</f>
        <v>42.63</v>
      </c>
      <c r="D20" s="13">
        <v>25</v>
      </c>
      <c r="E20" s="14">
        <f>D20
+SUMIF(Carichi!B:B,A20,Carichi!C:C)-F20+G20</f>
        <v>-1</v>
      </c>
      <c r="F20" s="14">
        <f>SUMIF(Ordini!E:E,TRIM(A20),Ordini!F:F)</f>
        <v>66</v>
      </c>
      <c r="G20" s="14">
        <f>SUMIFS(Ordini!N:N,Ordini!E:E,A20,Ordini!M:M,"Reso")+SUMIFS(Ordini!N:N,Ordini!E:E,A20,Ordini!M:M,"RimborsatoReso")</f>
        <v>0</v>
      </c>
      <c r="H20" s="11">
        <v>10</v>
      </c>
      <c r="I20" s="15">
        <f>IFERROR(SUMIFS(Ordini!F:F,Ordini!E:E,A20)/30,1)</f>
        <v>2.2000000000000002</v>
      </c>
      <c r="J20" s="15" t="str">
        <f t="shared" si="2"/>
        <v>ROT: 1 pz ogni 0 gg</v>
      </c>
      <c r="K20" s="15">
        <f>IF(OR('Prodotti Magazzino'!$I20=0,'Prodotti Magazzino'!$I20=""),
"NESSUNA VENDITA",
ROUND('Prodotti Magazzino'!$E20/'Prodotti Magazzino'!$I20,0)
)</f>
        <v>0</v>
      </c>
      <c r="L20" s="23">
        <f>ROUND(IF('Prodotti Magazzino'!$I20&lt;=0,0,'Prodotti Magazzino'!$I20*('Prodotti Magazzino'!$H20+7)),0)</f>
        <v>37</v>
      </c>
      <c r="M20" s="23">
        <f t="shared" si="3"/>
        <v>54</v>
      </c>
      <c r="N20" s="23" t="str">
        <f t="shared" si="4"/>
        <v>ORDINA SUBITO</v>
      </c>
      <c r="O20" s="12">
        <f>'Prodotti Magazzino'!$E20*'Prodotti Magazzino'!$B20</f>
        <v>-39.76</v>
      </c>
      <c r="P20" s="11">
        <v>8</v>
      </c>
      <c r="Q20" s="13">
        <f>57*27*27</f>
        <v>41553</v>
      </c>
    </row>
    <row r="21" spans="1:17" x14ac:dyDescent="0.25">
      <c r="A21" s="16" t="s">
        <v>61</v>
      </c>
      <c r="B21" s="17">
        <f>37.75+1.62</f>
        <v>39.369999999999997</v>
      </c>
      <c r="C21" s="17">
        <f>IFERROR(
IF(_xlfn.XLOOKUP(A21,Carichi!B:B,Carichi!D:D)="",
B21,
_xlfn.XLOOKUP(A21,Carichi!B:B,Carichi!D:D)
),
B21
)</f>
        <v>39.369999999999997</v>
      </c>
      <c r="D21" s="18">
        <v>0</v>
      </c>
      <c r="E21" s="19">
        <f>D21
+SUMIF(Carichi!B:B,A21,Carichi!C:C)-F21+G21</f>
        <v>0</v>
      </c>
      <c r="F21" s="35">
        <f>SUMIF(Ordini!E:E,TRIM(A21),Ordini!F:F)</f>
        <v>0</v>
      </c>
      <c r="G21" s="19">
        <f>SUMIFS(Ordini!N:N,Ordini!E:E,A21,Ordini!M:M,"Reso")+SUMIFS(Ordini!N:N,Ordini!E:E,A21,Ordini!M:M,"RimborsatoReso")</f>
        <v>0</v>
      </c>
      <c r="H21" s="16">
        <v>10</v>
      </c>
      <c r="I21" s="20">
        <f>IFERROR(SUMIFS(Ordini!F:F,Ordini!E:E,A21)/30,1)</f>
        <v>0</v>
      </c>
      <c r="J21" s="20" t="str">
        <f t="shared" si="2"/>
        <v>NESSUNA ROTAZIONE</v>
      </c>
      <c r="K21" s="21" t="str">
        <f>IF(OR('Prodotti Magazzino'!$I21=0,'Prodotti Magazzino'!$I21=""),
"NESSUNA VENDITA",
ROUND('Prodotti Magazzino'!$E21/'Prodotti Magazzino'!$I21,0)
)</f>
        <v>NESSUNA VENDITA</v>
      </c>
      <c r="L21" s="22">
        <f>ROUND(IF('Prodotti Magazzino'!$I21&lt;=0,0,'Prodotti Magazzino'!$I21*('Prodotti Magazzino'!$H21+7)),0)</f>
        <v>0</v>
      </c>
      <c r="M21" s="22">
        <f t="shared" si="3"/>
        <v>0</v>
      </c>
      <c r="N21" s="22" t="str">
        <f t="shared" si="4"/>
        <v>OK</v>
      </c>
      <c r="O21" s="17">
        <f>'Prodotti Magazzino'!$E21*'Prodotti Magazzino'!$B21</f>
        <v>0</v>
      </c>
      <c r="P21" s="16"/>
      <c r="Q21" s="16"/>
    </row>
    <row r="22" spans="1:17" x14ac:dyDescent="0.25">
      <c r="A22" s="11" t="s">
        <v>62</v>
      </c>
      <c r="B22" s="12">
        <f>2.11+1.62</f>
        <v>3.73</v>
      </c>
      <c r="C22" s="12">
        <f>IFERROR(
IF(_xlfn.XLOOKUP(A22,Carichi!B:B,Carichi!D:D)="",
B22,
_xlfn.XLOOKUP(A22,Carichi!B:B,Carichi!D:D)
),
B22
)</f>
        <v>3.73</v>
      </c>
      <c r="D22" s="13">
        <v>0</v>
      </c>
      <c r="E22" s="14">
        <f>D22
+SUMIF(Carichi!B:B,A22,Carichi!C:C)-F22+G22</f>
        <v>0</v>
      </c>
      <c r="F22" s="14">
        <f>SUMIF(Ordini!E:E,TRIM(A22),Ordini!F:F)</f>
        <v>0</v>
      </c>
      <c r="G22" s="14">
        <f>SUMIFS(Ordini!N:N,Ordini!E:E,A22,Ordini!M:M,"Reso")+SUMIFS(Ordini!N:N,Ordini!E:E,A22,Ordini!M:M,"RimborsatoReso")</f>
        <v>0</v>
      </c>
      <c r="H22" s="11">
        <v>10</v>
      </c>
      <c r="I22" s="15">
        <f>IFERROR(SUMIFS(Ordini!F:F,Ordini!E:E,A22)/30,1)</f>
        <v>0</v>
      </c>
      <c r="J22" s="15" t="str">
        <f t="shared" si="2"/>
        <v>NESSUNA ROTAZIONE</v>
      </c>
      <c r="K22" s="15" t="str">
        <f>IF(OR('Prodotti Magazzino'!$I22=0,'Prodotti Magazzino'!$I22=""),
"NESSUNA VENDITA",
ROUND('Prodotti Magazzino'!$E22/'Prodotti Magazzino'!$I22,0)
)</f>
        <v>NESSUNA VENDITA</v>
      </c>
      <c r="L22" s="23">
        <f>ROUND(IF('Prodotti Magazzino'!$I22&lt;=0,0,'Prodotti Magazzino'!$I22*('Prodotti Magazzino'!$H22+7)),0)</f>
        <v>0</v>
      </c>
      <c r="M22" s="23">
        <f t="shared" si="3"/>
        <v>0</v>
      </c>
      <c r="N22" s="23" t="str">
        <f t="shared" si="4"/>
        <v>OK</v>
      </c>
      <c r="O22" s="12">
        <f>'Prodotti Magazzino'!$E22*'Prodotti Magazzino'!$B22</f>
        <v>0</v>
      </c>
      <c r="P22" s="11"/>
      <c r="Q22" s="11"/>
    </row>
    <row r="23" spans="1:17" x14ac:dyDescent="0.25">
      <c r="A23" s="16" t="s">
        <v>63</v>
      </c>
      <c r="B23" s="17">
        <f>40.37+2.26</f>
        <v>42.629999999999995</v>
      </c>
      <c r="C23" s="17">
        <f>IFERROR(
IF(_xlfn.XLOOKUP(A23,Carichi!B:B,Carichi!D:D)="",
B23,
_xlfn.XLOOKUP(A23,Carichi!B:B,Carichi!D:D)
),
B23
)</f>
        <v>43.59</v>
      </c>
      <c r="D23" s="18">
        <v>6</v>
      </c>
      <c r="E23" s="19">
        <f>D23
+SUMIF(Carichi!B:B,A23,Carichi!C:C)-F23+G23</f>
        <v>0</v>
      </c>
      <c r="F23" s="35">
        <f>SUMIF(Ordini!E:E,TRIM(A23),Ordini!F:F)</f>
        <v>13</v>
      </c>
      <c r="G23" s="19">
        <f>SUMIFS(Ordini!N:N,Ordini!E:E,A23,Ordini!M:M,"Reso")+SUMIFS(Ordini!N:N,Ordini!E:E,A23,Ordini!M:M,"RimborsatoReso")</f>
        <v>1</v>
      </c>
      <c r="H23" s="16">
        <v>10</v>
      </c>
      <c r="I23" s="20">
        <f>IFERROR(SUMIFS(Ordini!F:F,Ordini!E:E,A23)/30,1)</f>
        <v>0.43333333333333335</v>
      </c>
      <c r="J23" s="20" t="str">
        <f t="shared" si="2"/>
        <v>ROT: 1 pz ogni 2 gg</v>
      </c>
      <c r="K23" s="21">
        <f>IF(OR('Prodotti Magazzino'!$I23=0,'Prodotti Magazzino'!$I23=""),
"NESSUNA VENDITA",
ROUND('Prodotti Magazzino'!$E23/'Prodotti Magazzino'!$I23,0)
)</f>
        <v>0</v>
      </c>
      <c r="L23" s="22">
        <f>ROUND(IF('Prodotti Magazzino'!$I23&lt;=0,0,'Prodotti Magazzino'!$I23*('Prodotti Magazzino'!$H23+7)),0)</f>
        <v>7</v>
      </c>
      <c r="M23" s="22">
        <f t="shared" si="3"/>
        <v>10</v>
      </c>
      <c r="N23" s="22" t="str">
        <f t="shared" si="4"/>
        <v>ORDINA SUBITO</v>
      </c>
      <c r="O23" s="17">
        <f>'Prodotti Magazzino'!$E23*'Prodotti Magazzino'!$B23</f>
        <v>0</v>
      </c>
      <c r="P23" s="16"/>
      <c r="Q23" s="16"/>
    </row>
    <row r="24" spans="1:17" x14ac:dyDescent="0.25">
      <c r="A24" s="11" t="s">
        <v>64</v>
      </c>
      <c r="B24" s="12">
        <f>10.58+2.26</f>
        <v>12.84</v>
      </c>
      <c r="C24" s="12">
        <f>IFERROR(
IF(_xlfn.XLOOKUP(A24,Carichi!B:B,Carichi!D:D)="",
B24,
_xlfn.XLOOKUP(A24,Carichi!B:B,Carichi!D:D)
),
B24
)</f>
        <v>12.84</v>
      </c>
      <c r="D24" s="13">
        <v>0</v>
      </c>
      <c r="E24" s="14">
        <f>D24
+SUMIF(Carichi!B:B,A24,Carichi!C:C)-F24+G24</f>
        <v>0</v>
      </c>
      <c r="F24" s="14">
        <f>SUMIF(Ordini!E:E,TRIM(A24),Ordini!F:F)</f>
        <v>0</v>
      </c>
      <c r="G24" s="14">
        <f>SUMIFS(Ordini!N:N,Ordini!E:E,A24,Ordini!M:M,"Reso")+SUMIFS(Ordini!N:N,Ordini!E:E,A24,Ordini!M:M,"RimborsatoReso")</f>
        <v>0</v>
      </c>
      <c r="H24" s="11">
        <v>10</v>
      </c>
      <c r="I24" s="15">
        <f>IFERROR(SUMIFS(Ordini!F:F,Ordini!E:E,A24)/30,1)</f>
        <v>0</v>
      </c>
      <c r="J24" s="15" t="str">
        <f t="shared" si="2"/>
        <v>NESSUNA ROTAZIONE</v>
      </c>
      <c r="K24" s="15" t="str">
        <f>IF(OR('Prodotti Magazzino'!$I24=0,'Prodotti Magazzino'!$I24=""),
"NESSUNA VENDITA",
ROUND('Prodotti Magazzino'!$E24/'Prodotti Magazzino'!$I24,0)
)</f>
        <v>NESSUNA VENDITA</v>
      </c>
      <c r="L24" s="23">
        <f>ROUND(IF('Prodotti Magazzino'!$I24&lt;=0,0,'Prodotti Magazzino'!$I24*('Prodotti Magazzino'!$H24+7)),0)</f>
        <v>0</v>
      </c>
      <c r="M24" s="23">
        <f t="shared" si="3"/>
        <v>0</v>
      </c>
      <c r="N24" s="23" t="str">
        <f t="shared" si="4"/>
        <v>OK</v>
      </c>
      <c r="O24" s="12">
        <f>'Prodotti Magazzino'!$E24*'Prodotti Magazzino'!$B24</f>
        <v>0</v>
      </c>
      <c r="P24" s="11"/>
      <c r="Q24" s="11"/>
    </row>
    <row r="25" spans="1:17" x14ac:dyDescent="0.25">
      <c r="A25" s="16" t="s">
        <v>65</v>
      </c>
      <c r="B25" s="17">
        <f>31.28+2.5</f>
        <v>33.78</v>
      </c>
      <c r="C25" s="17">
        <f>IFERROR(
IF(_xlfn.XLOOKUP(A25,Carichi!B:B,Carichi!D:D)="",
B25,
_xlfn.XLOOKUP(A25,Carichi!B:B,Carichi!D:D)
),
B25
)</f>
        <v>33.78</v>
      </c>
      <c r="D25" s="18">
        <v>15</v>
      </c>
      <c r="E25" s="19">
        <f>D25
+SUMIF(Carichi!B:B,A25,Carichi!C:C)-F25+G25</f>
        <v>0</v>
      </c>
      <c r="F25" s="35">
        <f>SUMIF(Ordini!E:E,TRIM(A25),Ordini!F:F)</f>
        <v>15</v>
      </c>
      <c r="G25" s="19">
        <f>SUMIFS(Ordini!N:N,Ordini!E:E,A25,Ordini!M:M,"Reso")+SUMIFS(Ordini!N:N,Ordini!E:E,A25,Ordini!M:M,"RimborsatoReso")</f>
        <v>0</v>
      </c>
      <c r="H25" s="16">
        <v>10</v>
      </c>
      <c r="I25" s="20">
        <f>IFERROR(SUMIFS(Ordini!F:F,Ordini!E:E,A25)/30,1)</f>
        <v>0.5</v>
      </c>
      <c r="J25" s="20" t="str">
        <f t="shared" si="2"/>
        <v>ROT: 1 pz ogni 2 gg</v>
      </c>
      <c r="K25" s="21">
        <f>IF(OR('Prodotti Magazzino'!$I25=0,'Prodotti Magazzino'!$I25=""),
"NESSUNA VENDITA",
ROUND('Prodotti Magazzino'!$E25/'Prodotti Magazzino'!$I25,0)
)</f>
        <v>0</v>
      </c>
      <c r="L25" s="22">
        <f>ROUND(IF('Prodotti Magazzino'!$I25&lt;=0,0,'Prodotti Magazzino'!$I25*('Prodotti Magazzino'!$H25+7)),0)</f>
        <v>9</v>
      </c>
      <c r="M25" s="22">
        <f t="shared" si="3"/>
        <v>12</v>
      </c>
      <c r="N25" s="22" t="str">
        <f t="shared" si="4"/>
        <v>ORDINA SUBITO</v>
      </c>
      <c r="O25" s="17">
        <f>'Prodotti Magazzino'!$E25*'Prodotti Magazzino'!$B25</f>
        <v>0</v>
      </c>
      <c r="P25" s="16"/>
      <c r="Q25" s="16"/>
    </row>
    <row r="26" spans="1:17" x14ac:dyDescent="0.25">
      <c r="A26" s="11" t="s">
        <v>66</v>
      </c>
      <c r="B26" s="12">
        <f>17.38+2.5</f>
        <v>19.88</v>
      </c>
      <c r="C26" s="12">
        <f>IFERROR(
IF(_xlfn.XLOOKUP(A26,Carichi!B:B,Carichi!D:D)="",
B26,
_xlfn.XLOOKUP(A26,Carichi!B:B,Carichi!D:D)
),
B26
)</f>
        <v>19.88</v>
      </c>
      <c r="D26" s="13">
        <v>0</v>
      </c>
      <c r="E26" s="14">
        <f>D26
+SUMIF(Carichi!B:B,A26,Carichi!C:C)-F26+G26</f>
        <v>0</v>
      </c>
      <c r="F26" s="14">
        <f>SUMIF(Ordini!E:E,TRIM(A26),Ordini!F:F)</f>
        <v>0</v>
      </c>
      <c r="G26" s="14">
        <f>SUMIFS(Ordini!N:N,Ordini!E:E,A26,Ordini!M:M,"Reso")+SUMIFS(Ordini!N:N,Ordini!E:E,A26,Ordini!M:M,"RimborsatoReso")</f>
        <v>0</v>
      </c>
      <c r="H26" s="11">
        <v>10</v>
      </c>
      <c r="I26" s="15">
        <f>IFERROR(SUMIFS(Ordini!F:F,Ordini!E:E,A26)/30,1)</f>
        <v>0</v>
      </c>
      <c r="J26" s="15" t="str">
        <f t="shared" si="2"/>
        <v>NESSUNA ROTAZIONE</v>
      </c>
      <c r="K26" s="15" t="str">
        <f>IF(OR('Prodotti Magazzino'!$I26=0,'Prodotti Magazzino'!$I26=""),
"NESSUNA VENDITA",
ROUND('Prodotti Magazzino'!$E26/'Prodotti Magazzino'!$I26,0)
)</f>
        <v>NESSUNA VENDITA</v>
      </c>
      <c r="L26" s="23">
        <f>ROUND(IF('Prodotti Magazzino'!$I26&lt;=0,0,'Prodotti Magazzino'!$I26*('Prodotti Magazzino'!$H26+7)),0)</f>
        <v>0</v>
      </c>
      <c r="M26" s="23">
        <f t="shared" si="3"/>
        <v>0</v>
      </c>
      <c r="N26" s="23" t="str">
        <f t="shared" si="4"/>
        <v>OK</v>
      </c>
      <c r="O26" s="12">
        <f>'Prodotti Magazzino'!$E26*'Prodotti Magazzino'!$B26</f>
        <v>0</v>
      </c>
      <c r="P26" s="11"/>
      <c r="Q26" s="11"/>
    </row>
    <row r="27" spans="1:17" x14ac:dyDescent="0.25">
      <c r="A27" s="16" t="s">
        <v>67</v>
      </c>
      <c r="B27" s="17">
        <f>20.47+2.5</f>
        <v>22.97</v>
      </c>
      <c r="C27" s="17">
        <f>IFERROR(
IF(_xlfn.XLOOKUP(A27,Carichi!B:B,Carichi!D:D)="",
B27,
_xlfn.XLOOKUP(A27,Carichi!B:B,Carichi!D:D)
),
B27
)</f>
        <v>22.97</v>
      </c>
      <c r="D27" s="18">
        <v>0</v>
      </c>
      <c r="E27" s="19">
        <f>D27
+SUMIF(Carichi!B:B,A27,Carichi!C:C)-F27+G27</f>
        <v>0</v>
      </c>
      <c r="F27" s="35">
        <f>SUMIF(Ordini!E:E,TRIM(A27),Ordini!F:F)</f>
        <v>0</v>
      </c>
      <c r="G27" s="19">
        <f>SUMIFS(Ordini!N:N,Ordini!E:E,A27,Ordini!M:M,"Reso")+SUMIFS(Ordini!N:N,Ordini!E:E,A27,Ordini!M:M,"RimborsatoReso")</f>
        <v>0</v>
      </c>
      <c r="H27" s="16">
        <v>10</v>
      </c>
      <c r="I27" s="20">
        <f>IFERROR(SUMIFS(Ordini!F:F,Ordini!E:E,A27)/30,1)</f>
        <v>0</v>
      </c>
      <c r="J27" s="20" t="str">
        <f t="shared" si="2"/>
        <v>NESSUNA ROTAZIONE</v>
      </c>
      <c r="K27" s="21" t="str">
        <f>IF(OR('Prodotti Magazzino'!$I27=0,'Prodotti Magazzino'!$I27=""),
"NESSUNA VENDITA",
ROUND('Prodotti Magazzino'!$E27/'Prodotti Magazzino'!$I27,0)
)</f>
        <v>NESSUNA VENDITA</v>
      </c>
      <c r="L27" s="22">
        <f>ROUND(IF('Prodotti Magazzino'!$I27&lt;=0,0,'Prodotti Magazzino'!$I27*('Prodotti Magazzino'!$H27+7)),0)</f>
        <v>0</v>
      </c>
      <c r="M27" s="22">
        <f t="shared" si="3"/>
        <v>0</v>
      </c>
      <c r="N27" s="22" t="str">
        <f t="shared" si="4"/>
        <v>OK</v>
      </c>
      <c r="O27" s="17">
        <f>'Prodotti Magazzino'!$E27*'Prodotti Magazzino'!$B27</f>
        <v>0</v>
      </c>
      <c r="P27" s="16"/>
      <c r="Q27" s="16"/>
    </row>
    <row r="28" spans="1:17" x14ac:dyDescent="0.25">
      <c r="A28" s="11" t="s">
        <v>68</v>
      </c>
      <c r="B28" s="12">
        <f>12.55+2.5</f>
        <v>15.05</v>
      </c>
      <c r="C28" s="12">
        <f>IFERROR(
IF(_xlfn.XLOOKUP(A28,Carichi!B:B,Carichi!D:D)="",
B28,
_xlfn.XLOOKUP(A28,Carichi!B:B,Carichi!D:D)
),
B28
)</f>
        <v>15.05</v>
      </c>
      <c r="D28" s="13">
        <v>1</v>
      </c>
      <c r="E28" s="14">
        <f>D28
+SUMIF(Carichi!B:B,A28,Carichi!C:C)-F28+G28</f>
        <v>0</v>
      </c>
      <c r="F28" s="14">
        <f>SUMIF(Ordini!E:E,TRIM(A28),Ordini!F:F)</f>
        <v>1</v>
      </c>
      <c r="G28" s="14">
        <f>SUMIFS(Ordini!N:N,Ordini!E:E,A28,Ordini!M:M,"Reso")+SUMIFS(Ordini!N:N,Ordini!E:E,A28,Ordini!M:M,"RimborsatoReso")</f>
        <v>0</v>
      </c>
      <c r="H28" s="11">
        <v>10</v>
      </c>
      <c r="I28" s="15">
        <f>IFERROR(SUMIFS(Ordini!F:F,Ordini!E:E,A28)/30,1)</f>
        <v>3.3333333333333333E-2</v>
      </c>
      <c r="J28" s="15" t="str">
        <f t="shared" si="2"/>
        <v>ROT: 1 pz ogni 30 gg</v>
      </c>
      <c r="K28" s="15">
        <f>IF(OR('Prodotti Magazzino'!$I28=0,'Prodotti Magazzino'!$I28=""),
"NESSUNA VENDITA",
ROUND('Prodotti Magazzino'!$E28/'Prodotti Magazzino'!$I28,0)
)</f>
        <v>0</v>
      </c>
      <c r="L28" s="23">
        <f>ROUND(IF('Prodotti Magazzino'!$I28&lt;=0,0,'Prodotti Magazzino'!$I28*('Prodotti Magazzino'!$H28+7)),0)</f>
        <v>1</v>
      </c>
      <c r="M28" s="23">
        <f t="shared" si="3"/>
        <v>1</v>
      </c>
      <c r="N28" s="23" t="str">
        <f t="shared" si="4"/>
        <v>ORDINA SUBITO</v>
      </c>
      <c r="O28" s="12">
        <f>'Prodotti Magazzino'!$E28*'Prodotti Magazzino'!$B28</f>
        <v>0</v>
      </c>
      <c r="P28" s="11"/>
      <c r="Q28" s="11"/>
    </row>
    <row r="29" spans="1:17" x14ac:dyDescent="0.25">
      <c r="A29" s="16" t="s">
        <v>69</v>
      </c>
      <c r="B29" s="17">
        <f>36.11+2.5</f>
        <v>38.61</v>
      </c>
      <c r="C29" s="17">
        <f>IFERROR(
IF(_xlfn.XLOOKUP(A29,Carichi!B:B,Carichi!D:D)="",
B29,
_xlfn.XLOOKUP(A29,Carichi!B:B,Carichi!D:D)
),
B29
)</f>
        <v>38.61</v>
      </c>
      <c r="D29" s="18">
        <v>3</v>
      </c>
      <c r="E29" s="19">
        <f>D29
+SUMIF(Carichi!B:B,A29,Carichi!C:C)-F29+G29</f>
        <v>0</v>
      </c>
      <c r="F29" s="35">
        <f>SUMIF(Ordini!E:E,TRIM(A29),Ordini!F:F)</f>
        <v>3</v>
      </c>
      <c r="G29" s="19">
        <f>SUMIFS(Ordini!N:N,Ordini!E:E,A29,Ordini!M:M,"Reso")+SUMIFS(Ordini!N:N,Ordini!E:E,A29,Ordini!M:M,"RimborsatoReso")</f>
        <v>0</v>
      </c>
      <c r="H29" s="16">
        <v>10</v>
      </c>
      <c r="I29" s="20">
        <f>IFERROR(SUMIFS(Ordini!F:F,Ordini!E:E,A29)/30,1)</f>
        <v>0.1</v>
      </c>
      <c r="J29" s="20" t="str">
        <f t="shared" si="2"/>
        <v>ROT: 1 pz ogni 10 gg</v>
      </c>
      <c r="K29" s="21">
        <f>IF(OR('Prodotti Magazzino'!$I29=0,'Prodotti Magazzino'!$I29=""),
"NESSUNA VENDITA",
ROUND('Prodotti Magazzino'!$E29/'Prodotti Magazzino'!$I29,0)
)</f>
        <v>0</v>
      </c>
      <c r="L29" s="22">
        <f>ROUND(IF('Prodotti Magazzino'!$I29&lt;=0,0,'Prodotti Magazzino'!$I29*('Prodotti Magazzino'!$H29+7)),0)</f>
        <v>2</v>
      </c>
      <c r="M29" s="22">
        <f t="shared" si="3"/>
        <v>2</v>
      </c>
      <c r="N29" s="22" t="str">
        <f t="shared" si="4"/>
        <v>ORDINA SUBITO</v>
      </c>
      <c r="O29" s="17">
        <f>'Prodotti Magazzino'!$E29*'Prodotti Magazzino'!$B29</f>
        <v>0</v>
      </c>
      <c r="P29" s="16"/>
      <c r="Q29" s="16"/>
    </row>
    <row r="30" spans="1:17" x14ac:dyDescent="0.25">
      <c r="A30" s="11" t="s">
        <v>70</v>
      </c>
      <c r="B30" s="12">
        <f>5.58+2.5</f>
        <v>8.08</v>
      </c>
      <c r="C30" s="12">
        <f>IFERROR(
IF(_xlfn.XLOOKUP(A30,Carichi!B:B,Carichi!D:D)="",
B30,
_xlfn.XLOOKUP(A30,Carichi!B:B,Carichi!D:D)
),
B30
)</f>
        <v>8.08</v>
      </c>
      <c r="D30" s="13">
        <v>2</v>
      </c>
      <c r="E30" s="14">
        <f>D30
+SUMIF(Carichi!B:B,A30,Carichi!C:C)-F30+G30</f>
        <v>0</v>
      </c>
      <c r="F30" s="14">
        <f>SUMIF(Ordini!E:E,TRIM(A30),Ordini!F:F)</f>
        <v>2</v>
      </c>
      <c r="G30" s="14">
        <f>SUMIFS(Ordini!N:N,Ordini!E:E,A30,Ordini!M:M,"Reso")+SUMIFS(Ordini!N:N,Ordini!E:E,A30,Ordini!M:M,"RimborsatoReso")</f>
        <v>0</v>
      </c>
      <c r="H30" s="11">
        <v>10</v>
      </c>
      <c r="I30" s="15">
        <f>IFERROR(SUMIFS(Ordini!F:F,Ordini!E:E,A30)/30,1)</f>
        <v>6.6666666666666666E-2</v>
      </c>
      <c r="J30" s="15" t="str">
        <f t="shared" si="2"/>
        <v>ROT: 1 pz ogni 15 gg</v>
      </c>
      <c r="K30" s="15">
        <f>IF(OR('Prodotti Magazzino'!$I30=0,'Prodotti Magazzino'!$I30=""),
"NESSUNA VENDITA",
ROUND('Prodotti Magazzino'!$E30/'Prodotti Magazzino'!$I30,0)
)</f>
        <v>0</v>
      </c>
      <c r="L30" s="23">
        <f>ROUND(IF('Prodotti Magazzino'!$I30&lt;=0,0,'Prodotti Magazzino'!$I30*('Prodotti Magazzino'!$H30+7)),0)</f>
        <v>1</v>
      </c>
      <c r="M30" s="23">
        <f t="shared" si="3"/>
        <v>2</v>
      </c>
      <c r="N30" s="23" t="str">
        <f t="shared" si="4"/>
        <v>ORDINA SUBITO</v>
      </c>
      <c r="O30" s="12">
        <f>'Prodotti Magazzino'!$E30*'Prodotti Magazzino'!$B30</f>
        <v>0</v>
      </c>
      <c r="P30" s="11"/>
      <c r="Q30" s="11"/>
    </row>
    <row r="31" spans="1:17" x14ac:dyDescent="0.25">
      <c r="A31" s="16" t="s">
        <v>71</v>
      </c>
      <c r="B31" s="17">
        <f>32.05</f>
        <v>32.049999999999997</v>
      </c>
      <c r="C31" s="17">
        <f>IFERROR(
IF(_xlfn.XLOOKUP(A31,Carichi!B:B,Carichi!D:D)="",
B31,
_xlfn.XLOOKUP(A31,Carichi!B:B,Carichi!D:D)
),
B31
)</f>
        <v>32.049999999999997</v>
      </c>
      <c r="D31" s="18">
        <v>8</v>
      </c>
      <c r="E31" s="19">
        <f>D31
+SUMIF(Carichi!B:B,A31,Carichi!C:C)-F31+G31</f>
        <v>0</v>
      </c>
      <c r="F31" s="35">
        <f>SUMIF(Ordini!E:E,TRIM(A31),Ordini!F:F)</f>
        <v>8</v>
      </c>
      <c r="G31" s="19">
        <f>SUMIFS(Ordini!N:N,Ordini!E:E,A31,Ordini!M:M,"Reso")+SUMIFS(Ordini!N:N,Ordini!E:E,A31,Ordini!M:M,"RimborsatoReso")</f>
        <v>0</v>
      </c>
      <c r="H31" s="16">
        <v>10</v>
      </c>
      <c r="I31" s="20">
        <f>IFERROR(SUMIFS(Ordini!F:F,Ordini!E:E,A31)/30,1)</f>
        <v>0.26666666666666666</v>
      </c>
      <c r="J31" s="20" t="str">
        <f t="shared" si="2"/>
        <v>ROT: 1 pz ogni 4 gg</v>
      </c>
      <c r="K31" s="21">
        <f>IF(OR('Prodotti Magazzino'!$I31=0,'Prodotti Magazzino'!$I31=""),
"NESSUNA VENDITA",
ROUND('Prodotti Magazzino'!$E31/'Prodotti Magazzino'!$I31,0)
)</f>
        <v>0</v>
      </c>
      <c r="L31" s="22">
        <f>ROUND(IF('Prodotti Magazzino'!$I31&lt;=0,0,'Prodotti Magazzino'!$I31*('Prodotti Magazzino'!$H31+7)),0)</f>
        <v>5</v>
      </c>
      <c r="M31" s="22">
        <f t="shared" si="3"/>
        <v>6</v>
      </c>
      <c r="N31" s="22" t="str">
        <f t="shared" si="4"/>
        <v>ORDINA SUBITO</v>
      </c>
      <c r="O31" s="17">
        <f>'Prodotti Magazzino'!$E31*'Prodotti Magazzino'!$B31</f>
        <v>0</v>
      </c>
      <c r="P31" s="16"/>
      <c r="Q31" s="16"/>
    </row>
    <row r="32" spans="1:17" x14ac:dyDescent="0.25">
      <c r="A32" s="11" t="s">
        <v>72</v>
      </c>
      <c r="B32" s="12">
        <f>6.18</f>
        <v>6.18</v>
      </c>
      <c r="C32" s="12">
        <f>IFERROR(
IF(_xlfn.XLOOKUP(A32,Carichi!B:B,Carichi!D:D)="",
B32,
_xlfn.XLOOKUP(A32,Carichi!B:B,Carichi!D:D)
),
B32
)</f>
        <v>8.82</v>
      </c>
      <c r="D32" s="13">
        <v>8</v>
      </c>
      <c r="E32" s="14">
        <f>D32
+SUMIF(Carichi!B:B,A32,Carichi!C:C)-F32+G32</f>
        <v>0</v>
      </c>
      <c r="F32" s="14">
        <f>SUMIF(Ordini!E:E,TRIM(A32),Ordini!F:F)</f>
        <v>14</v>
      </c>
      <c r="G32" s="14">
        <f>SUMIFS(Ordini!N:N,Ordini!E:E,A32,Ordini!M:M,"Reso")+SUMIFS(Ordini!N:N,Ordini!E:E,A32,Ordini!M:M,"RimborsatoReso")</f>
        <v>0</v>
      </c>
      <c r="H32" s="11">
        <v>10</v>
      </c>
      <c r="I32" s="15">
        <f>IFERROR(SUMIFS(Ordini!F:F,Ordini!E:E,A32)/30,1)</f>
        <v>0.46666666666666667</v>
      </c>
      <c r="J32" s="15" t="str">
        <f t="shared" si="2"/>
        <v>ROT: 1 pz ogni 2 gg</v>
      </c>
      <c r="K32" s="15">
        <f>IF(OR('Prodotti Magazzino'!$I32=0,'Prodotti Magazzino'!$I32=""),
"NESSUNA VENDITA",
ROUND('Prodotti Magazzino'!$E32/'Prodotti Magazzino'!$I32,0)
)</f>
        <v>0</v>
      </c>
      <c r="L32" s="23">
        <f>ROUND(IF('Prodotti Magazzino'!$I32&lt;=0,0,'Prodotti Magazzino'!$I32*('Prodotti Magazzino'!$H32+7)),0)</f>
        <v>8</v>
      </c>
      <c r="M32" s="23">
        <f t="shared" si="3"/>
        <v>11</v>
      </c>
      <c r="N32" s="23" t="str">
        <f t="shared" si="4"/>
        <v>ORDINA SUBITO</v>
      </c>
      <c r="O32" s="12">
        <f>'Prodotti Magazzino'!$E32*'Prodotti Magazzino'!$B32</f>
        <v>0</v>
      </c>
      <c r="P32" s="11"/>
      <c r="Q32" s="11"/>
    </row>
    <row r="33" spans="1:17" x14ac:dyDescent="0.25">
      <c r="A33" s="16" t="s">
        <v>73</v>
      </c>
      <c r="B33" s="17">
        <f>14.47</f>
        <v>14.47</v>
      </c>
      <c r="C33" s="17">
        <f>IFERROR(
IF(_xlfn.XLOOKUP(A33,Carichi!B:B,Carichi!D:D)="",
B33,
_xlfn.XLOOKUP(A33,Carichi!B:B,Carichi!D:D)
),
B33
)</f>
        <v>17.03</v>
      </c>
      <c r="D33" s="18">
        <v>13</v>
      </c>
      <c r="E33" s="19">
        <f>D33
+SUMIF(Carichi!B:B,A33,Carichi!C:C)-F33+G33</f>
        <v>0</v>
      </c>
      <c r="F33" s="35">
        <f>SUMIF(Ordini!E:E,TRIM(A33),Ordini!F:F)</f>
        <v>23</v>
      </c>
      <c r="G33" s="19">
        <f>SUMIFS(Ordini!N:N,Ordini!E:E,A33,Ordini!M:M,"Reso")+SUMIFS(Ordini!N:N,Ordini!E:E,A33,Ordini!M:M,"RimborsatoReso")</f>
        <v>0</v>
      </c>
      <c r="H33" s="16">
        <v>10</v>
      </c>
      <c r="I33" s="20">
        <f>IFERROR(SUMIFS(Ordini!F:F,Ordini!E:E,A33)/30,1)</f>
        <v>0.76666666666666672</v>
      </c>
      <c r="J33" s="20" t="str">
        <f t="shared" si="2"/>
        <v>ROT: 1 pz ogni 1 gg</v>
      </c>
      <c r="K33" s="21">
        <f>IF(OR('Prodotti Magazzino'!$I33=0,'Prodotti Magazzino'!$I33=""),
"NESSUNA VENDITA",
ROUND('Prodotti Magazzino'!$E33/'Prodotti Magazzino'!$I33,0)
)</f>
        <v>0</v>
      </c>
      <c r="L33" s="22">
        <f>ROUND(IF('Prodotti Magazzino'!$I33&lt;=0,0,'Prodotti Magazzino'!$I33*('Prodotti Magazzino'!$H33+7)),0)</f>
        <v>13</v>
      </c>
      <c r="M33" s="22">
        <f t="shared" si="3"/>
        <v>18</v>
      </c>
      <c r="N33" s="22" t="str">
        <f t="shared" si="4"/>
        <v>ORDINA SUBITO</v>
      </c>
      <c r="O33" s="17">
        <f>'Prodotti Magazzino'!$E33*'Prodotti Magazzino'!$B33</f>
        <v>0</v>
      </c>
      <c r="P33" s="16"/>
      <c r="Q33" s="16"/>
    </row>
    <row r="34" spans="1:17" x14ac:dyDescent="0.25">
      <c r="A34" s="11" t="s">
        <v>74</v>
      </c>
      <c r="B34" s="12">
        <f>50</f>
        <v>50</v>
      </c>
      <c r="C34" s="12">
        <f>IFERROR(
IF(_xlfn.XLOOKUP(A34,Carichi!B:B,Carichi!D:D)="",
B34,
_xlfn.XLOOKUP(A34,Carichi!B:B,Carichi!D:D)
),
B34
)</f>
        <v>50</v>
      </c>
      <c r="D34" s="13">
        <v>32</v>
      </c>
      <c r="E34" s="14">
        <f>D34
+SUMIF(Carichi!B:B,A34,Carichi!C:C)-F34+G34</f>
        <v>0</v>
      </c>
      <c r="F34" s="14">
        <f>SUMIF(Ordini!E:E,TRIM(A34),Ordini!F:F)</f>
        <v>32</v>
      </c>
      <c r="G34" s="14">
        <f>SUMIFS(Ordini!N:N,Ordini!E:E,A34,Ordini!M:M,"Reso")+SUMIFS(Ordini!N:N,Ordini!E:E,A34,Ordini!M:M,"RimborsatoReso")</f>
        <v>0</v>
      </c>
      <c r="H34" s="11">
        <v>10</v>
      </c>
      <c r="I34" s="15">
        <f>IFERROR(SUMIFS(Ordini!F:F,Ordini!E:E,A34)/30,1)</f>
        <v>1.0666666666666667</v>
      </c>
      <c r="J34" s="15" t="str">
        <f t="shared" si="2"/>
        <v>ROT: 1 pz ogni 1 gg</v>
      </c>
      <c r="K34" s="15">
        <f>IF(OR('Prodotti Magazzino'!$I34=0,'Prodotti Magazzino'!$I34=""),
"NESSUNA VENDITA",
ROUND('Prodotti Magazzino'!$E34/'Prodotti Magazzino'!$I34,0)
)</f>
        <v>0</v>
      </c>
      <c r="L34" s="23">
        <f>ROUND(IF('Prodotti Magazzino'!$I34&lt;=0,0,'Prodotti Magazzino'!$I34*('Prodotti Magazzino'!$H34+7)),0)</f>
        <v>18</v>
      </c>
      <c r="M34" s="23">
        <f t="shared" si="3"/>
        <v>26</v>
      </c>
      <c r="N34" s="23" t="str">
        <f t="shared" si="4"/>
        <v>ORDINA SUBITO</v>
      </c>
      <c r="O34" s="12">
        <f>'Prodotti Magazzino'!$E34*'Prodotti Magazzino'!$B34</f>
        <v>0</v>
      </c>
      <c r="P34" s="11"/>
      <c r="Q34" s="11"/>
    </row>
    <row r="35" spans="1:17" x14ac:dyDescent="0.25">
      <c r="A35" s="16" t="s">
        <v>75</v>
      </c>
      <c r="B35" s="17">
        <f>56.93</f>
        <v>56.93</v>
      </c>
      <c r="C35" s="17">
        <f>IFERROR(
IF(_xlfn.XLOOKUP(A35,Carichi!B:B,Carichi!D:D)="",
B35,
_xlfn.XLOOKUP(A35,Carichi!B:B,Carichi!D:D)
),
B35
)</f>
        <v>56.93</v>
      </c>
      <c r="D35" s="18">
        <v>0</v>
      </c>
      <c r="E35" s="19">
        <f>D35
+SUMIF(Carichi!B:B,A35,Carichi!C:C)-F35+G35</f>
        <v>0</v>
      </c>
      <c r="F35" s="35">
        <f>SUMIF(Ordini!E:E,TRIM(A35),Ordini!F:F)</f>
        <v>0</v>
      </c>
      <c r="G35" s="19">
        <f>SUMIFS(Ordini!N:N,Ordini!E:E,A35,Ordini!M:M,"Reso")+SUMIFS(Ordini!N:N,Ordini!E:E,A35,Ordini!M:M,"RimborsatoReso")</f>
        <v>0</v>
      </c>
      <c r="H35" s="16">
        <v>10</v>
      </c>
      <c r="I35" s="20">
        <f>IFERROR(SUMIFS(Ordini!F:F,Ordini!E:E,A35)/30,1)</f>
        <v>0</v>
      </c>
      <c r="J35" s="20" t="str">
        <f t="shared" si="2"/>
        <v>NESSUNA ROTAZIONE</v>
      </c>
      <c r="K35" s="21" t="str">
        <f>IF(OR('Prodotti Magazzino'!$I35=0,'Prodotti Magazzino'!$I35=""),
"NESSUNA VENDITA",
ROUND('Prodotti Magazzino'!$E35/'Prodotti Magazzino'!$I35,0)
)</f>
        <v>NESSUNA VENDITA</v>
      </c>
      <c r="L35" s="22">
        <f>ROUND(IF('Prodotti Magazzino'!$I35&lt;=0,0,'Prodotti Magazzino'!$I35*('Prodotti Magazzino'!$H35+7)),0)</f>
        <v>0</v>
      </c>
      <c r="M35" s="22">
        <f t="shared" si="3"/>
        <v>0</v>
      </c>
      <c r="N35" s="22" t="str">
        <f t="shared" si="4"/>
        <v>OK</v>
      </c>
      <c r="O35" s="17">
        <f>'Prodotti Magazzino'!$E35*'Prodotti Magazzino'!$B35</f>
        <v>0</v>
      </c>
      <c r="P35" s="16"/>
      <c r="Q35" s="16"/>
    </row>
    <row r="36" spans="1:17" x14ac:dyDescent="0.25">
      <c r="A36" s="11" t="s">
        <v>76</v>
      </c>
      <c r="B36" s="12">
        <f>6.95</f>
        <v>6.95</v>
      </c>
      <c r="C36" s="12">
        <f>IFERROR(
IF(_xlfn.XLOOKUP(A36,Carichi!B:B,Carichi!D:D)="",
B36,
_xlfn.XLOOKUP(A36,Carichi!B:B,Carichi!D:D)
),
B36
)</f>
        <v>6.95</v>
      </c>
      <c r="D36" s="13">
        <v>0</v>
      </c>
      <c r="E36" s="14">
        <f>D36
+SUMIF(Carichi!B:B,A36,Carichi!C:C)-F36+G36</f>
        <v>0</v>
      </c>
      <c r="F36" s="14">
        <f>SUMIF(Ordini!E:E,TRIM(A36),Ordini!F:F)</f>
        <v>0</v>
      </c>
      <c r="G36" s="14">
        <f>SUMIFS(Ordini!N:N,Ordini!E:E,A36,Ordini!M:M,"Reso")+SUMIFS(Ordini!N:N,Ordini!E:E,A36,Ordini!M:M,"RimborsatoReso")</f>
        <v>0</v>
      </c>
      <c r="H36" s="11">
        <v>10</v>
      </c>
      <c r="I36" s="15">
        <f>IFERROR(SUMIFS(Ordini!F:F,Ordini!E:E,A36)/30,1)</f>
        <v>0</v>
      </c>
      <c r="J36" s="15" t="str">
        <f t="shared" si="2"/>
        <v>NESSUNA ROTAZIONE</v>
      </c>
      <c r="K36" s="15" t="str">
        <f>IF(OR('Prodotti Magazzino'!$I36=0,'Prodotti Magazzino'!$I36=""),
"NESSUNA VENDITA",
ROUND('Prodotti Magazzino'!$E36/'Prodotti Magazzino'!$I36,0)
)</f>
        <v>NESSUNA VENDITA</v>
      </c>
      <c r="L36" s="23">
        <f>ROUND(IF('Prodotti Magazzino'!$I36&lt;=0,0,'Prodotti Magazzino'!$I36*('Prodotti Magazzino'!$H36+7)),0)</f>
        <v>0</v>
      </c>
      <c r="M36" s="23">
        <f t="shared" si="3"/>
        <v>0</v>
      </c>
      <c r="N36" s="23" t="str">
        <f t="shared" si="4"/>
        <v>OK</v>
      </c>
      <c r="O36" s="12">
        <f>'Prodotti Magazzino'!$E36*'Prodotti Magazzino'!$B36</f>
        <v>0</v>
      </c>
      <c r="P36" s="11"/>
      <c r="Q36" s="11"/>
    </row>
    <row r="37" spans="1:17" x14ac:dyDescent="0.25">
      <c r="A37" s="16" t="s">
        <v>77</v>
      </c>
      <c r="B37" s="17">
        <f>26.82</f>
        <v>26.82</v>
      </c>
      <c r="C37" s="17">
        <f>IFERROR(
IF(_xlfn.XLOOKUP(A37,Carichi!B:B,Carichi!D:D)="",
B37,
_xlfn.XLOOKUP(A37,Carichi!B:B,Carichi!D:D)
),
B37
)</f>
        <v>29.26</v>
      </c>
      <c r="D37" s="18">
        <v>1</v>
      </c>
      <c r="E37" s="19">
        <f>D37
+SUMIF(Carichi!B:B,A37,Carichi!C:C)-F37+G37</f>
        <v>1</v>
      </c>
      <c r="F37" s="35">
        <f>SUMIF(Ordini!E:E,TRIM(A37),Ordini!F:F)</f>
        <v>20</v>
      </c>
      <c r="G37" s="19">
        <f>SUMIFS(Ordini!N:N,Ordini!E:E,A37,Ordini!M:M,"Reso")+SUMIFS(Ordini!N:N,Ordini!E:E,A37,Ordini!M:M,"RimborsatoReso")</f>
        <v>0</v>
      </c>
      <c r="H37" s="16">
        <v>10</v>
      </c>
      <c r="I37" s="20">
        <f>IFERROR(SUMIFS(Ordini!F:F,Ordini!E:E,A37)/30,1)</f>
        <v>0.66666666666666663</v>
      </c>
      <c r="J37" s="20" t="str">
        <f t="shared" si="2"/>
        <v>ROT: 1 pz ogni 2 gg</v>
      </c>
      <c r="K37" s="21">
        <f>IF(OR('Prodotti Magazzino'!$I37=0,'Prodotti Magazzino'!$I37=""),
"NESSUNA VENDITA",
ROUND('Prodotti Magazzino'!$E37/'Prodotti Magazzino'!$I37,0)
)</f>
        <v>2</v>
      </c>
      <c r="L37" s="22">
        <f>ROUND(IF('Prodotti Magazzino'!$I37&lt;=0,0,'Prodotti Magazzino'!$I37*('Prodotti Magazzino'!$H37+7)),0)</f>
        <v>11</v>
      </c>
      <c r="M37" s="22">
        <f t="shared" si="3"/>
        <v>15</v>
      </c>
      <c r="N37" s="22" t="str">
        <f t="shared" si="4"/>
        <v>ORDINA SUBITO</v>
      </c>
      <c r="O37" s="17">
        <f>'Prodotti Magazzino'!$E37*'Prodotti Magazzino'!$B37</f>
        <v>26.82</v>
      </c>
      <c r="P37" s="16"/>
      <c r="Q37" s="16"/>
    </row>
    <row r="38" spans="1:17" x14ac:dyDescent="0.25">
      <c r="A38" s="11" t="s">
        <v>78</v>
      </c>
      <c r="B38" s="12">
        <f>11.21+3.89</f>
        <v>15.100000000000001</v>
      </c>
      <c r="C38" s="12">
        <f>IFERROR(
IF(_xlfn.XLOOKUP(A38,Carichi!B:B,Carichi!D:D)="",
B38,
_xlfn.XLOOKUP(A38,Carichi!B:B,Carichi!D:D)
),
B38
)</f>
        <v>15.100000000000001</v>
      </c>
      <c r="D38" s="13">
        <v>25</v>
      </c>
      <c r="E38" s="14">
        <f>D38
+SUMIF(Carichi!B:B,A38,Carichi!C:C)-F38+G38</f>
        <v>0</v>
      </c>
      <c r="F38" s="14">
        <f>SUMIF(Ordini!E:E,TRIM(A38),Ordini!F:F)</f>
        <v>25</v>
      </c>
      <c r="G38" s="14">
        <f>SUMIFS(Ordini!N:N,Ordini!E:E,A38,Ordini!M:M,"Reso")+SUMIFS(Ordini!N:N,Ordini!E:E,A38,Ordini!M:M,"RimborsatoReso")</f>
        <v>0</v>
      </c>
      <c r="H38" s="11">
        <v>10</v>
      </c>
      <c r="I38" s="15">
        <f>IFERROR(SUMIFS(Ordini!F:F,Ordini!E:E,A38)/30,1)</f>
        <v>0.83333333333333337</v>
      </c>
      <c r="J38" s="15" t="str">
        <f t="shared" si="2"/>
        <v>ROT: 1 pz ogni 1 gg</v>
      </c>
      <c r="K38" s="15">
        <f>IF(OR('Prodotti Magazzino'!$I38=0,'Prodotti Magazzino'!$I38=""),
"NESSUNA VENDITA",
ROUND('Prodotti Magazzino'!$E38/'Prodotti Magazzino'!$I38,0)
)</f>
        <v>0</v>
      </c>
      <c r="L38" s="23">
        <f>ROUND(IF('Prodotti Magazzino'!$I38&lt;=0,0,'Prodotti Magazzino'!$I38*('Prodotti Magazzino'!$H38+7)),0)</f>
        <v>14</v>
      </c>
      <c r="M38" s="23">
        <f t="shared" si="3"/>
        <v>20</v>
      </c>
      <c r="N38" s="23" t="str">
        <f t="shared" si="4"/>
        <v>ORDINA SUBITO</v>
      </c>
      <c r="O38" s="12">
        <f>'Prodotti Magazzino'!$E38*'Prodotti Magazzino'!$B38</f>
        <v>0</v>
      </c>
      <c r="P38" s="11"/>
      <c r="Q38" s="11"/>
    </row>
    <row r="39" spans="1:17" x14ac:dyDescent="0.25">
      <c r="A39" s="16" t="s">
        <v>79</v>
      </c>
      <c r="B39" s="17">
        <f>20.14+3.89</f>
        <v>24.03</v>
      </c>
      <c r="C39" s="17">
        <f>IFERROR(
IF(_xlfn.XLOOKUP(A39,Carichi!B:B,Carichi!D:D)="",
B39,
_xlfn.XLOOKUP(A39,Carichi!B:B,Carichi!D:D)
),
B39
)</f>
        <v>24.03</v>
      </c>
      <c r="D39" s="18">
        <v>14</v>
      </c>
      <c r="E39" s="19">
        <f>D39
+SUMIF(Carichi!B:B,A39,Carichi!C:C)-F39+G39</f>
        <v>0</v>
      </c>
      <c r="F39" s="35">
        <f>SUMIF(Ordini!E:E,TRIM(A39),Ordini!F:F)</f>
        <v>14</v>
      </c>
      <c r="G39" s="19">
        <f>SUMIFS(Ordini!N:N,Ordini!E:E,A39,Ordini!M:M,"Reso")+SUMIFS(Ordini!N:N,Ordini!E:E,A39,Ordini!M:M,"RimborsatoReso")</f>
        <v>0</v>
      </c>
      <c r="H39" s="16">
        <v>10</v>
      </c>
      <c r="I39" s="20">
        <f>IFERROR(SUMIFS(Ordini!F:F,Ordini!E:E,A39)/30,1)</f>
        <v>0.46666666666666667</v>
      </c>
      <c r="J39" s="20" t="str">
        <f t="shared" si="2"/>
        <v>ROT: 1 pz ogni 2 gg</v>
      </c>
      <c r="K39" s="21">
        <f>IF(OR('Prodotti Magazzino'!$I39=0,'Prodotti Magazzino'!$I39=""),
"NESSUNA VENDITA",
ROUND('Prodotti Magazzino'!$E39/'Prodotti Magazzino'!$I39,0)
)</f>
        <v>0</v>
      </c>
      <c r="L39" s="22">
        <f>ROUND(IF('Prodotti Magazzino'!$I39&lt;=0,0,'Prodotti Magazzino'!$I39*('Prodotti Magazzino'!$H39+7)),0)</f>
        <v>8</v>
      </c>
      <c r="M39" s="22">
        <f t="shared" si="3"/>
        <v>11</v>
      </c>
      <c r="N39" s="22" t="str">
        <f t="shared" si="4"/>
        <v>ORDINA SUBITO</v>
      </c>
      <c r="O39" s="17">
        <f>'Prodotti Magazzino'!$E39*'Prodotti Magazzino'!$B39</f>
        <v>0</v>
      </c>
      <c r="P39" s="16"/>
      <c r="Q39" s="16"/>
    </row>
    <row r="40" spans="1:17" x14ac:dyDescent="0.25">
      <c r="A40" s="11" t="s">
        <v>410</v>
      </c>
      <c r="B40" s="12">
        <v>64.8</v>
      </c>
      <c r="C40" s="12">
        <f>IFERROR(
IF(_xlfn.XLOOKUP(A40,Carichi!B:B,Carichi!D:D)="",
B40,
_xlfn.XLOOKUP(A40,Carichi!B:B,Carichi!D:D)
),
B40
)</f>
        <v>66.23</v>
      </c>
      <c r="D40" s="13">
        <v>5</v>
      </c>
      <c r="E40" s="14">
        <f>D40
+SUMIF(Carichi!B:B,A40,Carichi!C:C)-F40+G40</f>
        <v>-2</v>
      </c>
      <c r="F40" s="14">
        <f>SUMIF(Ordini!E:E,TRIM(A40),Ordini!F:F)</f>
        <v>27</v>
      </c>
      <c r="G40" s="14">
        <f>SUMIFS(Ordini!N:N,Ordini!E:E,A40,Ordini!M:M,"Reso")+SUMIFS(Ordini!N:N,Ordini!E:E,A40,Ordini!M:M,"RimborsatoReso")</f>
        <v>0</v>
      </c>
      <c r="H40" s="11">
        <v>10</v>
      </c>
      <c r="I40" s="15">
        <f>IFERROR(SUMIFS(Ordini!F:F,Ordini!E:E,A40)/30,1)</f>
        <v>0.9</v>
      </c>
      <c r="J40" s="15" t="str">
        <f t="shared" si="2"/>
        <v>ROT: 1 pz ogni 1 gg</v>
      </c>
      <c r="K40" s="15">
        <f>IF(OR('Prodotti Magazzino'!$I40=0,'Prodotti Magazzino'!$I40=""),
"NESSUNA VENDITA",
ROUND('Prodotti Magazzino'!$E40/'Prodotti Magazzino'!$I40,0)
)</f>
        <v>-2</v>
      </c>
      <c r="L40" s="23">
        <f>ROUND(IF('Prodotti Magazzino'!$I40&lt;=0,0,'Prodotti Magazzino'!$I40*('Prodotti Magazzino'!$H40+7)),0)</f>
        <v>15</v>
      </c>
      <c r="M40" s="23">
        <f t="shared" ref="M40:M41" si="5">ROUND(MAX(0,(I40*(H40+14))-E40),0)</f>
        <v>24</v>
      </c>
      <c r="N40" s="23" t="str">
        <f t="shared" ref="N40:N41" si="6">IF(E40 &lt; I40*H40,"ORDINA SUBITO",
IF(E40 &lt; I40*(H40+14),"PREPARA",
"OK"))</f>
        <v>ORDINA SUBITO</v>
      </c>
      <c r="O40" s="12">
        <f>'Prodotti Magazzino'!$E40*'Prodotti Magazzino'!$B40</f>
        <v>-129.6</v>
      </c>
      <c r="P40" s="11"/>
      <c r="Q40" s="11"/>
    </row>
    <row r="41" spans="1:17" x14ac:dyDescent="0.25">
      <c r="A41" s="16" t="s">
        <v>411</v>
      </c>
      <c r="B41" s="17">
        <v>12.64</v>
      </c>
      <c r="C41" s="17">
        <f>IFERROR(
IF(_xlfn.XLOOKUP(A41,Carichi!B:B,Carichi!D:D)="",
B41,
_xlfn.XLOOKUP(A41,Carichi!B:B,Carichi!D:D)
),
B41
)</f>
        <v>12.64</v>
      </c>
      <c r="D41" s="18">
        <v>10</v>
      </c>
      <c r="E41" s="19">
        <f>D41
+SUMIF(Carichi!B:B,A41,Carichi!C:C)-F41+G41</f>
        <v>0</v>
      </c>
      <c r="F41" s="35">
        <f>SUMIF(Ordini!E:E,TRIM(A41),Ordini!F:F)</f>
        <v>10</v>
      </c>
      <c r="G41" s="19">
        <f>SUMIFS(Ordini!N:N,Ordini!E:E,A41,Ordini!M:M,"Reso")+SUMIFS(Ordini!N:N,Ordini!E:E,A41,Ordini!M:M,"RimborsatoReso")</f>
        <v>0</v>
      </c>
      <c r="H41" s="16">
        <v>10</v>
      </c>
      <c r="I41" s="20">
        <f>IFERROR(SUMIFS(Ordini!F:F,Ordini!E:E,A41)/30,1)</f>
        <v>0.33333333333333331</v>
      </c>
      <c r="J41" s="20" t="str">
        <f t="shared" ref="J41:J42" si="7">IF(I41&lt;=0,"NESSUNA ROTAZIONE","ROT: 1 pz ogni "&amp;ROUND(1/I41,0)&amp;" gg")</f>
        <v>ROT: 1 pz ogni 3 gg</v>
      </c>
      <c r="K41" s="21">
        <f>IF(OR('Prodotti Magazzino'!$I41=0,'Prodotti Magazzino'!$I41=""),
"NESSUNA VENDITA",
ROUND('Prodotti Magazzino'!$E41/'Prodotti Magazzino'!$I41,0)
)</f>
        <v>0</v>
      </c>
      <c r="L41" s="22">
        <f>ROUND(IF('Prodotti Magazzino'!$I41&lt;=0,0,'Prodotti Magazzino'!$I41*('Prodotti Magazzino'!$H41+7)),0)</f>
        <v>6</v>
      </c>
      <c r="M41" s="22">
        <f t="shared" si="5"/>
        <v>8</v>
      </c>
      <c r="N41" s="22" t="str">
        <f t="shared" si="6"/>
        <v>ORDINA SUBITO</v>
      </c>
      <c r="O41" s="17">
        <f>'Prodotti Magazzino'!$E41*'Prodotti Magazzino'!$B41</f>
        <v>0</v>
      </c>
      <c r="P41" s="16"/>
      <c r="Q41" s="16"/>
    </row>
    <row r="42" spans="1:17" x14ac:dyDescent="0.25">
      <c r="A42" s="11" t="s">
        <v>412</v>
      </c>
      <c r="B42" s="12">
        <v>15.31</v>
      </c>
      <c r="C42" s="12">
        <f>IFERROR(
IF(_xlfn.XLOOKUP(A42,Carichi!B:B,Carichi!D:D)="",
B42,
_xlfn.XLOOKUP(A42,Carichi!B:B,Carichi!D:D)
),
B42
)</f>
        <v>15.31</v>
      </c>
      <c r="D42" s="13">
        <v>10</v>
      </c>
      <c r="E42" s="14">
        <f>D42
+SUMIF(Carichi!B:B,A42,Carichi!C:C)-F42+G42</f>
        <v>1</v>
      </c>
      <c r="F42" s="14">
        <f>SUMIF(Ordini!E:E,TRIM(A42),Ordini!F:F)</f>
        <v>10</v>
      </c>
      <c r="G42" s="14">
        <f>SUMIFS(Ordini!N:N,Ordini!E:E,A42,Ordini!M:M,"Reso")+SUMIFS(Ordini!N:N,Ordini!E:E,A42,Ordini!M:M,"RimborsatoReso")</f>
        <v>1</v>
      </c>
      <c r="H42" s="11">
        <v>10</v>
      </c>
      <c r="I42" s="15">
        <f>IFERROR(SUMIFS(Ordini!F:F,Ordini!E:E,A42)/30,1)</f>
        <v>0.33333333333333331</v>
      </c>
      <c r="J42" s="15" t="str">
        <f t="shared" si="7"/>
        <v>ROT: 1 pz ogni 3 gg</v>
      </c>
      <c r="K42" s="15">
        <f>IF(OR('Prodotti Magazzino'!$I42=0,'Prodotti Magazzino'!$I42=""),
"NESSUNA VENDITA",
ROUND('Prodotti Magazzino'!$E42/'Prodotti Magazzino'!$I42,0)
)</f>
        <v>3</v>
      </c>
      <c r="L42" s="23">
        <f>ROUND(IF('Prodotti Magazzino'!$I42&lt;=0,0,'Prodotti Magazzino'!$I42*('Prodotti Magazzino'!$H42+7)),0)</f>
        <v>6</v>
      </c>
      <c r="M42" s="23">
        <f t="shared" ref="M42:M44" si="8">ROUND(MAX(0,(I42*(H42+14))-E42),0)</f>
        <v>7</v>
      </c>
      <c r="N42" s="23" t="str">
        <f t="shared" ref="N42:N44" si="9">IF(E42 &lt; I42*H42,"ORDINA SUBITO",
IF(E42 &lt; I42*(H42+14),"PREPARA",
"OK"))</f>
        <v>ORDINA SUBITO</v>
      </c>
      <c r="O42" s="12">
        <f>'Prodotti Magazzino'!$E42*'Prodotti Magazzino'!$B42</f>
        <v>15.31</v>
      </c>
      <c r="P42" s="11"/>
      <c r="Q42" s="11"/>
    </row>
    <row r="43" spans="1:17" s="25" customFormat="1" x14ac:dyDescent="0.25">
      <c r="A43" s="33" t="s">
        <v>413</v>
      </c>
      <c r="B43" s="30">
        <v>8.43</v>
      </c>
      <c r="C43" s="31">
        <f>IFERROR(
IF(_xlfn.XLOOKUP(A43,Carichi!B:B,Carichi!D:D)="",
B43,
_xlfn.XLOOKUP(A43,Carichi!B:B,Carichi!D:D)
),
B43
)</f>
        <v>8.43</v>
      </c>
      <c r="D43" s="32">
        <v>0</v>
      </c>
      <c r="E43" s="32">
        <f>D43
+SUMIF(Carichi!B:B,A43,Carichi!C:C)-F43+G43</f>
        <v>19</v>
      </c>
      <c r="F43" s="35">
        <f>SUMIF(Ordini!E:E,TRIM(A43),Ordini!F:F)</f>
        <v>11</v>
      </c>
      <c r="G43" s="32">
        <f>SUMIFS(Ordini!N:N,Ordini!E:E,A43,Ordini!M:M,"Reso")+SUMIFS(Ordini!N:N,Ordini!E:E,A43,Ordini!M:M,"RimborsatoReso")</f>
        <v>0</v>
      </c>
      <c r="H43" s="16">
        <v>10</v>
      </c>
      <c r="I43" s="29">
        <f>IFERROR(SUMIFS(Ordini!F:F,Ordini!E:E,A43)/30,1)</f>
        <v>0.36666666666666664</v>
      </c>
      <c r="J43" s="20" t="str">
        <f t="shared" ref="J43:J44" si="10">IF(I43&lt;=0,"NESSUNA ROTAZIONE","ROT: 1 pz ogni "&amp;ROUND(1/I43,0)&amp;" gg")</f>
        <v>ROT: 1 pz ogni 3 gg</v>
      </c>
      <c r="K43" s="21">
        <f>IF(OR('Prodotti Magazzino'!$I43=0,'Prodotti Magazzino'!$I43=""),
"NESSUNA VENDITA",
ROUND('Prodotti Magazzino'!$E43/'Prodotti Magazzino'!$I43,0)
)</f>
        <v>52</v>
      </c>
      <c r="L43" s="22">
        <f>ROUND(IF('Prodotti Magazzino'!$I43&lt;=0,0,'Prodotti Magazzino'!$I43*('Prodotti Magazzino'!$H43+7)),0)</f>
        <v>6</v>
      </c>
      <c r="M43" s="22">
        <f t="shared" si="8"/>
        <v>0</v>
      </c>
      <c r="N43" s="22" t="str">
        <f t="shared" si="9"/>
        <v>OK</v>
      </c>
      <c r="O43" s="17">
        <f>'Prodotti Magazzino'!$E43*'Prodotti Magazzino'!$B43</f>
        <v>160.16999999999999</v>
      </c>
      <c r="P43" s="20"/>
      <c r="Q43" s="21"/>
    </row>
    <row r="44" spans="1:17" x14ac:dyDescent="0.25">
      <c r="A44" s="11" t="s">
        <v>414</v>
      </c>
      <c r="B44" s="12">
        <v>8.24</v>
      </c>
      <c r="C44" s="12">
        <f>IFERROR(
IF(_xlfn.XLOOKUP(A44,Carichi!B:B,Carichi!D:D)="",
B44,
_xlfn.XLOOKUP(A44,Carichi!B:B,Carichi!D:D)
),
B44
)</f>
        <v>8.24</v>
      </c>
      <c r="D44" s="13">
        <v>10</v>
      </c>
      <c r="E44" s="14">
        <f>D44
+SUMIF(Carichi!B:B,A44,Carichi!C:C)-F44+G44</f>
        <v>0</v>
      </c>
      <c r="F44" s="14">
        <f>SUMIF(Ordini!E:E,TRIM(A44),Ordini!F:F)</f>
        <v>10</v>
      </c>
      <c r="G44" s="14">
        <f>SUMIFS(Ordini!N:N,Ordini!E:E,A44,Ordini!M:M,"Reso")+SUMIFS(Ordini!N:N,Ordini!E:E,A44,Ordini!M:M,"RimborsatoReso")</f>
        <v>0</v>
      </c>
      <c r="H44" s="11">
        <v>10</v>
      </c>
      <c r="I44" s="15">
        <f>IFERROR(SUMIFS(Ordini!F:F,Ordini!E:E,A44)/30,1)</f>
        <v>0.33333333333333331</v>
      </c>
      <c r="J44" s="15" t="str">
        <f t="shared" si="10"/>
        <v>ROT: 1 pz ogni 3 gg</v>
      </c>
      <c r="K44" s="15">
        <f>IF(OR('Prodotti Magazzino'!$I44=0,'Prodotti Magazzino'!$I44=""),
"NESSUNA VENDITA",
ROUND('Prodotti Magazzino'!$E44/'Prodotti Magazzino'!$I44,0)
)</f>
        <v>0</v>
      </c>
      <c r="L44" s="23">
        <f>ROUND(IF('Prodotti Magazzino'!$I44&lt;=0,0,'Prodotti Magazzino'!$I44*('Prodotti Magazzino'!$H44+7)),0)</f>
        <v>6</v>
      </c>
      <c r="M44" s="23">
        <f t="shared" si="8"/>
        <v>8</v>
      </c>
      <c r="N44" s="23" t="str">
        <f t="shared" si="9"/>
        <v>ORDINA SUBITO</v>
      </c>
      <c r="O44" s="12">
        <f>'Prodotti Magazzino'!$E44*'Prodotti Magazzino'!$B44</f>
        <v>0</v>
      </c>
      <c r="P44" s="11"/>
      <c r="Q44" s="11"/>
    </row>
    <row r="45" spans="1:17" s="25" customFormat="1" x14ac:dyDescent="0.25">
      <c r="A45" s="33" t="s">
        <v>415</v>
      </c>
      <c r="B45" s="30">
        <v>20.85</v>
      </c>
      <c r="C45" s="31">
        <f>IFERROR(
IF(_xlfn.XLOOKUP(A45,Carichi!B:B,Carichi!D:D)="",
B45,
_xlfn.XLOOKUP(A45,Carichi!B:B,Carichi!D:D)
),
B45
)</f>
        <v>20.85</v>
      </c>
      <c r="D45" s="32">
        <v>10</v>
      </c>
      <c r="E45" s="32">
        <f>D45
+SUMIF(Carichi!B:B,A45,Carichi!C:C)-F45+G45</f>
        <v>0</v>
      </c>
      <c r="F45" s="35">
        <f>SUMIF(Ordini!E:E,TRIM(A45),Ordini!F:F)</f>
        <v>10</v>
      </c>
      <c r="G45" s="32">
        <f>SUMIFS(Ordini!N:N,Ordini!E:E,A45,Ordini!M:M,"Reso")+SUMIFS(Ordini!N:N,Ordini!E:E,A45,Ordini!M:M,"RimborsatoReso")</f>
        <v>0</v>
      </c>
      <c r="H45" s="16">
        <v>10</v>
      </c>
      <c r="I45" s="29">
        <f>IFERROR(SUMIFS(Ordini!F:F,Ordini!E:E,A45)/30,1)</f>
        <v>0.33333333333333331</v>
      </c>
      <c r="J45" s="20" t="str">
        <f t="shared" ref="J45:J46" si="11">IF(I45&lt;=0,"NESSUNA ROTAZIONE","ROT: 1 pz ogni "&amp;ROUND(1/I45,0)&amp;" gg")</f>
        <v>ROT: 1 pz ogni 3 gg</v>
      </c>
      <c r="K45" s="21">
        <f>IF(OR('Prodotti Magazzino'!$I45=0,'Prodotti Magazzino'!$I45=""),
"NESSUNA VENDITA",
ROUND('Prodotti Magazzino'!$E45/'Prodotti Magazzino'!$I45,0)
)</f>
        <v>0</v>
      </c>
      <c r="L45" s="22">
        <f>ROUND(IF('Prodotti Magazzino'!$I45&lt;=0,0,'Prodotti Magazzino'!$I45*('Prodotti Magazzino'!$H45+7)),0)</f>
        <v>6</v>
      </c>
      <c r="M45" s="22">
        <f t="shared" ref="M45:M46" si="12">ROUND(MAX(0,(I45*(H45+14))-E45),0)</f>
        <v>8</v>
      </c>
      <c r="N45" s="22" t="str">
        <f t="shared" ref="N45:N46" si="13">IF(E45 &lt; I45*H45,"ORDINA SUBITO",
IF(E45 &lt; I45*(H45+14),"PREPARA",
"OK"))</f>
        <v>ORDINA SUBITO</v>
      </c>
      <c r="O45" s="17">
        <f>'Prodotti Magazzino'!$E45*'Prodotti Magazzino'!$B45</f>
        <v>0</v>
      </c>
      <c r="P45" s="20"/>
      <c r="Q45" s="21"/>
    </row>
    <row r="46" spans="1:17" x14ac:dyDescent="0.25">
      <c r="A46" s="11" t="s">
        <v>736</v>
      </c>
      <c r="B46" s="12">
        <v>44</v>
      </c>
      <c r="C46" s="12">
        <f>IFERROR(
IF(_xlfn.XLOOKUP(A46,Carichi!B:B,Carichi!D:D)="",
B46,
_xlfn.XLOOKUP(A46,Carichi!B:B,Carichi!D:D)
),
B46
)</f>
        <v>44</v>
      </c>
      <c r="D46" s="13">
        <v>10</v>
      </c>
      <c r="E46" s="14">
        <f>D46
+SUMIF(Carichi!B:B,A46,Carichi!C:C)-F46+G46</f>
        <v>4</v>
      </c>
      <c r="F46" s="14">
        <f>SUMIF(Ordini!E:E,TRIM(A46),Ordini!F:F)</f>
        <v>6</v>
      </c>
      <c r="G46" s="14">
        <f>SUMIFS(Ordini!N:N,Ordini!E:E,A46,Ordini!M:M,"Reso")+SUMIFS(Ordini!N:N,Ordini!E:E,A46,Ordini!M:M,"RimborsatoReso")</f>
        <v>0</v>
      </c>
      <c r="H46" s="11">
        <v>10</v>
      </c>
      <c r="I46" s="15">
        <f>IFERROR(SUMIFS(Ordini!F:F,Ordini!E:E,A46)/30,1)</f>
        <v>0.2</v>
      </c>
      <c r="J46" s="15" t="str">
        <f t="shared" si="11"/>
        <v>ROT: 1 pz ogni 5 gg</v>
      </c>
      <c r="K46" s="15">
        <f>IF(OR('Prodotti Magazzino'!$I46=0,'Prodotti Magazzino'!$I46=""),
"NESSUNA VENDITA",
ROUND('Prodotti Magazzino'!$E46/'Prodotti Magazzino'!$I46,0)
)</f>
        <v>20</v>
      </c>
      <c r="L46" s="23">
        <f>ROUND(IF('Prodotti Magazzino'!$I46&lt;=0,0,'Prodotti Magazzino'!$I46*('Prodotti Magazzino'!$H46+7)),0)</f>
        <v>3</v>
      </c>
      <c r="M46" s="23">
        <f t="shared" si="12"/>
        <v>1</v>
      </c>
      <c r="N46" s="23" t="str">
        <f t="shared" si="13"/>
        <v>PREPARA</v>
      </c>
      <c r="O46" s="12">
        <f>'Prodotti Magazzino'!$E46*'Prodotti Magazzino'!$B46</f>
        <v>176</v>
      </c>
      <c r="P46" s="11"/>
      <c r="Q46" s="11"/>
    </row>
  </sheetData>
  <autoFilter ref="A1:Q46" xr:uid="{9064164D-3D66-4AB9-AAEF-C1DCA4CBB1C6}"/>
  <dataValidations disablePrompts="1" count="1">
    <dataValidation type="list" allowBlank="1" showInputMessage="1" showErrorMessage="1" sqref="A7" xr:uid="{0933226B-CF97-469F-B9F2-0DFC65B04211}">
      <formula1>$A$2:$A$39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4675-298E-47F0-86F3-4A690623F713}">
  <dimension ref="B1:D16"/>
  <sheetViews>
    <sheetView workbookViewId="0">
      <selection activeCell="B2" sqref="B2"/>
    </sheetView>
  </sheetViews>
  <sheetFormatPr defaultRowHeight="15" x14ac:dyDescent="0.25"/>
  <cols>
    <col min="2" max="2" width="32" customWidth="1"/>
  </cols>
  <sheetData>
    <row r="1" spans="2:4" x14ac:dyDescent="0.25">
      <c r="B1" t="s">
        <v>407</v>
      </c>
    </row>
    <row r="2" spans="2:4" x14ac:dyDescent="0.25">
      <c r="B2" t="s">
        <v>22</v>
      </c>
      <c r="C2" t="s">
        <v>26</v>
      </c>
    </row>
    <row r="3" spans="2:4" x14ac:dyDescent="0.25">
      <c r="B3" t="s">
        <v>23</v>
      </c>
      <c r="C3" t="s">
        <v>27</v>
      </c>
    </row>
    <row r="4" spans="2:4" x14ac:dyDescent="0.25">
      <c r="B4" t="s">
        <v>24</v>
      </c>
      <c r="C4" t="s">
        <v>26</v>
      </c>
    </row>
    <row r="5" spans="2:4" x14ac:dyDescent="0.25">
      <c r="B5" t="s">
        <v>25</v>
      </c>
      <c r="C5" t="s">
        <v>27</v>
      </c>
    </row>
    <row r="6" spans="2:4" x14ac:dyDescent="0.25">
      <c r="B6" t="s">
        <v>34</v>
      </c>
      <c r="C6" t="s">
        <v>26</v>
      </c>
    </row>
    <row r="7" spans="2:4" x14ac:dyDescent="0.25">
      <c r="B7" s="1">
        <v>0</v>
      </c>
    </row>
    <row r="8" spans="2:4" x14ac:dyDescent="0.25">
      <c r="B8" s="1">
        <v>0.22</v>
      </c>
    </row>
    <row r="9" spans="2:4" x14ac:dyDescent="0.25">
      <c r="B9" s="1">
        <v>0.19</v>
      </c>
    </row>
    <row r="10" spans="2:4" x14ac:dyDescent="0.25">
      <c r="B10" s="1">
        <v>0.2</v>
      </c>
    </row>
    <row r="11" spans="2:4" x14ac:dyDescent="0.25">
      <c r="B11" t="s">
        <v>407</v>
      </c>
      <c r="D11" t="s">
        <v>407</v>
      </c>
    </row>
    <row r="12" spans="2:4" x14ac:dyDescent="0.25">
      <c r="B12" s="26" t="s">
        <v>109</v>
      </c>
      <c r="D12" t="s">
        <v>20</v>
      </c>
    </row>
    <row r="13" spans="2:4" x14ac:dyDescent="0.25">
      <c r="B13" s="26" t="s">
        <v>110</v>
      </c>
      <c r="D13" t="s">
        <v>368</v>
      </c>
    </row>
    <row r="14" spans="2:4" x14ac:dyDescent="0.25">
      <c r="B14" s="26" t="s">
        <v>111</v>
      </c>
      <c r="D14" t="s">
        <v>366</v>
      </c>
    </row>
    <row r="15" spans="2:4" x14ac:dyDescent="0.25">
      <c r="B15" s="26" t="s">
        <v>363</v>
      </c>
      <c r="D15" t="s">
        <v>406</v>
      </c>
    </row>
    <row r="16" spans="2:4" x14ac:dyDescent="0.25">
      <c r="B16" s="2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5C84-2D03-4AAA-896C-EF25CD04FEBB}">
  <sheetPr>
    <tabColor theme="7" tint="0.59999389629810485"/>
  </sheetPr>
  <dimension ref="A1:D14"/>
  <sheetViews>
    <sheetView zoomScale="115" zoomScaleNormal="115" workbookViewId="0">
      <selection activeCell="D20" sqref="D20:D21"/>
    </sheetView>
  </sheetViews>
  <sheetFormatPr defaultRowHeight="15" x14ac:dyDescent="0.25"/>
  <cols>
    <col min="1" max="1" width="11.85546875" bestFit="1" customWidth="1"/>
    <col min="2" max="2" width="38" customWidth="1"/>
    <col min="3" max="3" width="13.28515625" bestFit="1" customWidth="1"/>
    <col min="4" max="4" width="16" bestFit="1" customWidth="1"/>
    <col min="6" max="6" width="11.28515625" bestFit="1" customWidth="1"/>
  </cols>
  <sheetData>
    <row r="1" spans="1:4" x14ac:dyDescent="0.25">
      <c r="A1" s="27" t="s">
        <v>36</v>
      </c>
      <c r="B1" s="28" t="s">
        <v>4</v>
      </c>
      <c r="C1" s="28" t="s">
        <v>37</v>
      </c>
      <c r="D1" s="28" t="s">
        <v>403</v>
      </c>
    </row>
    <row r="2" spans="1:4" x14ac:dyDescent="0.25">
      <c r="A2" s="34">
        <v>46158</v>
      </c>
      <c r="B2" t="s">
        <v>44</v>
      </c>
      <c r="C2">
        <v>20</v>
      </c>
      <c r="D2">
        <f>20.25+2.7</f>
        <v>22.95</v>
      </c>
    </row>
    <row r="3" spans="1:4" x14ac:dyDescent="0.25">
      <c r="A3" s="34">
        <v>46158</v>
      </c>
      <c r="B3" t="s">
        <v>77</v>
      </c>
      <c r="C3">
        <v>10</v>
      </c>
      <c r="D3">
        <v>29.26</v>
      </c>
    </row>
    <row r="4" spans="1:4" x14ac:dyDescent="0.25">
      <c r="A4" s="34">
        <v>46158</v>
      </c>
      <c r="B4" t="s">
        <v>50</v>
      </c>
      <c r="C4">
        <v>15</v>
      </c>
      <c r="D4">
        <v>6.9</v>
      </c>
    </row>
    <row r="5" spans="1:4" x14ac:dyDescent="0.25">
      <c r="A5" s="34">
        <v>46158</v>
      </c>
      <c r="B5" t="s">
        <v>63</v>
      </c>
      <c r="C5">
        <v>6</v>
      </c>
      <c r="D5">
        <v>43.59</v>
      </c>
    </row>
    <row r="6" spans="1:4" x14ac:dyDescent="0.25">
      <c r="A6" s="34">
        <v>46158</v>
      </c>
      <c r="B6" t="s">
        <v>73</v>
      </c>
      <c r="C6">
        <v>10</v>
      </c>
      <c r="D6">
        <v>17.03</v>
      </c>
    </row>
    <row r="7" spans="1:4" x14ac:dyDescent="0.25">
      <c r="A7" s="34">
        <v>46158</v>
      </c>
      <c r="B7" t="s">
        <v>72</v>
      </c>
      <c r="C7">
        <v>6</v>
      </c>
      <c r="D7">
        <v>8.82</v>
      </c>
    </row>
    <row r="8" spans="1:4" x14ac:dyDescent="0.25">
      <c r="A8" s="34">
        <v>46158</v>
      </c>
      <c r="B8" t="s">
        <v>60</v>
      </c>
      <c r="C8">
        <v>25</v>
      </c>
      <c r="D8">
        <v>42.63</v>
      </c>
    </row>
    <row r="9" spans="1:4" x14ac:dyDescent="0.25">
      <c r="A9" s="34">
        <v>46158</v>
      </c>
      <c r="B9" t="s">
        <v>413</v>
      </c>
      <c r="C9">
        <v>10</v>
      </c>
      <c r="D9">
        <v>8.43</v>
      </c>
    </row>
    <row r="10" spans="1:4" x14ac:dyDescent="0.25">
      <c r="A10" s="34">
        <v>46179</v>
      </c>
      <c r="B10" t="s">
        <v>410</v>
      </c>
      <c r="C10">
        <v>20</v>
      </c>
      <c r="D10">
        <v>66.23</v>
      </c>
    </row>
    <row r="11" spans="1:4" x14ac:dyDescent="0.25">
      <c r="A11" s="34">
        <v>46179</v>
      </c>
      <c r="B11" t="s">
        <v>77</v>
      </c>
      <c r="C11">
        <v>10</v>
      </c>
      <c r="D11">
        <f>26.68+3.8</f>
        <v>30.48</v>
      </c>
    </row>
    <row r="12" spans="1:4" x14ac:dyDescent="0.25">
      <c r="A12" s="34">
        <v>46179</v>
      </c>
      <c r="B12" t="s">
        <v>50</v>
      </c>
      <c r="C12">
        <v>20</v>
      </c>
      <c r="D12">
        <f>4.22+3.83</f>
        <v>8.0500000000000007</v>
      </c>
    </row>
    <row r="13" spans="1:4" x14ac:dyDescent="0.25">
      <c r="A13" s="34">
        <v>46179</v>
      </c>
      <c r="B13" t="s">
        <v>60</v>
      </c>
      <c r="C13">
        <v>15</v>
      </c>
      <c r="D13">
        <f>40.12+3.83</f>
        <v>43.949999999999996</v>
      </c>
    </row>
    <row r="14" spans="1:4" x14ac:dyDescent="0.25">
      <c r="A14" s="34">
        <v>46179</v>
      </c>
      <c r="B14" t="s">
        <v>413</v>
      </c>
      <c r="C14">
        <v>20</v>
      </c>
      <c r="D14">
        <f>5.76+3.83</f>
        <v>9.59</v>
      </c>
    </row>
  </sheetData>
  <autoFilter ref="A1:C1" xr:uid="{125D5C84-2D03-4AAA-896C-EF25CD04FEBB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F6182D86-3896-4B45-93A3-3C11C93BBAD3}">
          <x14:formula1>
            <xm:f>'Prodotti Magazzino'!$A$2:$A$477</xm:f>
          </x14:formula1>
          <xm:sqref>B2:B1048576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1997-D6DE-4CD3-8593-FEB6F0DD48FB}">
  <dimension ref="A1:E133"/>
  <sheetViews>
    <sheetView zoomScale="115" zoomScaleNormal="115" workbookViewId="0">
      <pane ySplit="1" topLeftCell="A116" activePane="bottomLeft" state="frozen"/>
      <selection pane="bottomLeft" activeCell="A133" sqref="A133"/>
    </sheetView>
  </sheetViews>
  <sheetFormatPr defaultRowHeight="15" x14ac:dyDescent="0.25"/>
  <cols>
    <col min="1" max="1" width="24.140625" bestFit="1" customWidth="1"/>
    <col min="3" max="3" width="19.85546875" bestFit="1" customWidth="1"/>
    <col min="4" max="4" width="17.42578125" customWidth="1"/>
  </cols>
  <sheetData>
    <row r="1" spans="1:5" x14ac:dyDescent="0.25">
      <c r="A1" s="3" t="s">
        <v>4</v>
      </c>
      <c r="B1" s="4" t="s">
        <v>16</v>
      </c>
      <c r="C1" s="4" t="s">
        <v>17</v>
      </c>
      <c r="D1" s="4" t="s">
        <v>18</v>
      </c>
      <c r="E1" s="5" t="s">
        <v>19</v>
      </c>
    </row>
    <row r="2" spans="1:5" x14ac:dyDescent="0.25">
      <c r="A2" s="6" t="s">
        <v>42</v>
      </c>
      <c r="B2" s="6" t="s">
        <v>20</v>
      </c>
      <c r="C2" s="7">
        <v>4.76</v>
      </c>
      <c r="D2" s="7">
        <v>4.76</v>
      </c>
      <c r="E2" s="6"/>
    </row>
    <row r="3" spans="1:5" x14ac:dyDescent="0.25">
      <c r="A3" s="6" t="s">
        <v>43</v>
      </c>
      <c r="B3" s="6" t="s">
        <v>20</v>
      </c>
      <c r="C3" s="7">
        <v>4.7699999999999996</v>
      </c>
      <c r="D3" s="7">
        <v>4.7699999999999996</v>
      </c>
      <c r="E3" s="6"/>
    </row>
    <row r="4" spans="1:5" x14ac:dyDescent="0.25">
      <c r="A4" s="6" t="s">
        <v>44</v>
      </c>
      <c r="B4" s="6" t="s">
        <v>20</v>
      </c>
      <c r="C4" s="7">
        <v>4.8499999999999996</v>
      </c>
      <c r="D4" s="7">
        <v>4.8499999999999996</v>
      </c>
      <c r="E4" s="6"/>
    </row>
    <row r="5" spans="1:5" x14ac:dyDescent="0.25">
      <c r="A5" s="6" t="s">
        <v>45</v>
      </c>
      <c r="B5" s="6" t="s">
        <v>20</v>
      </c>
      <c r="C5" s="7">
        <v>4.7699999999999996</v>
      </c>
      <c r="D5" s="7">
        <v>4.7699999999999996</v>
      </c>
      <c r="E5" s="6"/>
    </row>
    <row r="6" spans="1:5" x14ac:dyDescent="0.25">
      <c r="A6" s="6" t="s">
        <v>46</v>
      </c>
      <c r="B6" s="6" t="s">
        <v>20</v>
      </c>
      <c r="C6" s="7">
        <v>4.7699999999999996</v>
      </c>
      <c r="D6" s="7">
        <v>4.7699999999999996</v>
      </c>
      <c r="E6" s="6"/>
    </row>
    <row r="7" spans="1:5" x14ac:dyDescent="0.25">
      <c r="A7" s="6" t="s">
        <v>47</v>
      </c>
      <c r="B7" s="6" t="s">
        <v>20</v>
      </c>
      <c r="C7" s="7">
        <v>4.7699999999999996</v>
      </c>
      <c r="D7" s="7">
        <v>4.7699999999999996</v>
      </c>
      <c r="E7" s="6"/>
    </row>
    <row r="8" spans="1:5" x14ac:dyDescent="0.25">
      <c r="A8" s="6" t="s">
        <v>48</v>
      </c>
      <c r="B8" s="6" t="s">
        <v>20</v>
      </c>
      <c r="C8" s="7">
        <v>4.7699999999999996</v>
      </c>
      <c r="D8" s="7">
        <v>4.7699999999999996</v>
      </c>
      <c r="E8" s="6"/>
    </row>
    <row r="9" spans="1:5" x14ac:dyDescent="0.25">
      <c r="A9" s="6" t="s">
        <v>49</v>
      </c>
      <c r="B9" s="6" t="s">
        <v>20</v>
      </c>
      <c r="C9" s="7">
        <v>4.7699999999999996</v>
      </c>
      <c r="D9" s="7">
        <v>4.7699999999999996</v>
      </c>
      <c r="E9" s="6"/>
    </row>
    <row r="10" spans="1:5" x14ac:dyDescent="0.25">
      <c r="A10" s="6" t="s">
        <v>50</v>
      </c>
      <c r="B10" s="6" t="s">
        <v>20</v>
      </c>
      <c r="C10" s="7">
        <v>4.7699999999999996</v>
      </c>
      <c r="D10" s="7">
        <v>4.7699999999999996</v>
      </c>
      <c r="E10" s="6"/>
    </row>
    <row r="11" spans="1:5" x14ac:dyDescent="0.25">
      <c r="A11" s="6" t="s">
        <v>51</v>
      </c>
      <c r="B11" s="6" t="s">
        <v>20</v>
      </c>
      <c r="C11" s="7">
        <v>7.91</v>
      </c>
      <c r="D11" s="7">
        <v>7.91</v>
      </c>
      <c r="E11" s="6"/>
    </row>
    <row r="12" spans="1:5" x14ac:dyDescent="0.25">
      <c r="A12" s="6" t="s">
        <v>52</v>
      </c>
      <c r="B12" s="6" t="s">
        <v>20</v>
      </c>
      <c r="C12" s="7">
        <v>4.7699999999999996</v>
      </c>
      <c r="D12" s="7">
        <v>4.7699999999999996</v>
      </c>
      <c r="E12" s="6"/>
    </row>
    <row r="13" spans="1:5" x14ac:dyDescent="0.25">
      <c r="A13" s="6" t="s">
        <v>53</v>
      </c>
      <c r="B13" s="6" t="s">
        <v>20</v>
      </c>
      <c r="C13" s="7">
        <v>4.7699999999999996</v>
      </c>
      <c r="D13" s="7">
        <v>4.7699999999999996</v>
      </c>
      <c r="E13" s="6"/>
    </row>
    <row r="14" spans="1:5" x14ac:dyDescent="0.25">
      <c r="A14" s="6" t="s">
        <v>54</v>
      </c>
      <c r="B14" s="6" t="s">
        <v>20</v>
      </c>
      <c r="C14" s="7">
        <v>4.7699999999999996</v>
      </c>
      <c r="D14" s="7">
        <v>4.7699999999999996</v>
      </c>
      <c r="E14" s="6"/>
    </row>
    <row r="15" spans="1:5" x14ac:dyDescent="0.25">
      <c r="A15" s="6" t="s">
        <v>55</v>
      </c>
      <c r="B15" s="6" t="s">
        <v>20</v>
      </c>
      <c r="C15" s="7">
        <v>4.7699999999999996</v>
      </c>
      <c r="D15" s="7">
        <v>4.7699999999999996</v>
      </c>
      <c r="E15" s="6"/>
    </row>
    <row r="16" spans="1:5" x14ac:dyDescent="0.25">
      <c r="A16" s="6" t="s">
        <v>56</v>
      </c>
      <c r="B16" s="6" t="s">
        <v>20</v>
      </c>
      <c r="C16" s="7">
        <v>4.7699999999999996</v>
      </c>
      <c r="D16" s="7">
        <v>4.7699999999999996</v>
      </c>
      <c r="E16" s="6"/>
    </row>
    <row r="17" spans="1:5" x14ac:dyDescent="0.25">
      <c r="A17" s="6" t="s">
        <v>57</v>
      </c>
      <c r="B17" s="6" t="s">
        <v>20</v>
      </c>
      <c r="C17" s="7">
        <v>4.7699999999999996</v>
      </c>
      <c r="D17" s="7">
        <v>4.7699999999999996</v>
      </c>
      <c r="E17" s="6"/>
    </row>
    <row r="18" spans="1:5" x14ac:dyDescent="0.25">
      <c r="A18" s="6" t="s">
        <v>58</v>
      </c>
      <c r="B18" s="6" t="s">
        <v>20</v>
      </c>
      <c r="C18" s="7">
        <v>4.7699999999999996</v>
      </c>
      <c r="D18" s="7">
        <v>4.7699999999999996</v>
      </c>
      <c r="E18" s="6"/>
    </row>
    <row r="19" spans="1:5" x14ac:dyDescent="0.25">
      <c r="A19" s="6" t="s">
        <v>59</v>
      </c>
      <c r="B19" s="6" t="s">
        <v>20</v>
      </c>
      <c r="C19" s="7">
        <v>5.76</v>
      </c>
      <c r="D19" s="7">
        <v>5.76</v>
      </c>
      <c r="E19" s="6"/>
    </row>
    <row r="20" spans="1:5" x14ac:dyDescent="0.25">
      <c r="A20" s="6" t="s">
        <v>60</v>
      </c>
      <c r="B20" s="6" t="s">
        <v>20</v>
      </c>
      <c r="C20" s="7">
        <v>8.01</v>
      </c>
      <c r="D20" s="7">
        <v>8.01</v>
      </c>
      <c r="E20" s="6"/>
    </row>
    <row r="21" spans="1:5" x14ac:dyDescent="0.25">
      <c r="A21" s="6" t="s">
        <v>61</v>
      </c>
      <c r="B21" s="6" t="s">
        <v>20</v>
      </c>
      <c r="C21" s="7">
        <v>8.4</v>
      </c>
      <c r="D21" s="7">
        <v>8.4</v>
      </c>
      <c r="E21" s="6"/>
    </row>
    <row r="22" spans="1:5" x14ac:dyDescent="0.25">
      <c r="A22" s="6" t="s">
        <v>62</v>
      </c>
      <c r="B22" s="6" t="s">
        <v>20</v>
      </c>
      <c r="C22" s="7">
        <v>4.7699999999999996</v>
      </c>
      <c r="D22" s="7">
        <v>4.7699999999999996</v>
      </c>
      <c r="E22" s="6"/>
    </row>
    <row r="23" spans="1:5" x14ac:dyDescent="0.25">
      <c r="A23" s="6" t="s">
        <v>63</v>
      </c>
      <c r="B23" s="6" t="s">
        <v>20</v>
      </c>
      <c r="C23" s="7">
        <f>7.4/1.22</f>
        <v>6.0655737704918034</v>
      </c>
      <c r="D23" s="7">
        <f>7.4/1.22</f>
        <v>6.0655737704918034</v>
      </c>
      <c r="E23" s="6"/>
    </row>
    <row r="24" spans="1:5" x14ac:dyDescent="0.25">
      <c r="A24" s="6" t="s">
        <v>64</v>
      </c>
      <c r="B24" s="6" t="s">
        <v>20</v>
      </c>
      <c r="C24" s="7">
        <v>4.7699999999999996</v>
      </c>
      <c r="D24" s="7">
        <v>4.7699999999999996</v>
      </c>
      <c r="E24" s="6"/>
    </row>
    <row r="25" spans="1:5" x14ac:dyDescent="0.25">
      <c r="A25" s="6" t="s">
        <v>65</v>
      </c>
      <c r="B25" s="6" t="s">
        <v>20</v>
      </c>
      <c r="C25" s="7">
        <v>5.87</v>
      </c>
      <c r="D25" s="7">
        <v>5.87</v>
      </c>
      <c r="E25" s="6"/>
    </row>
    <row r="26" spans="1:5" x14ac:dyDescent="0.25">
      <c r="A26" s="6" t="s">
        <v>66</v>
      </c>
      <c r="B26" s="6" t="s">
        <v>20</v>
      </c>
      <c r="C26" s="7">
        <v>4.7699999999999996</v>
      </c>
      <c r="D26" s="7">
        <v>4.7699999999999996</v>
      </c>
      <c r="E26" s="6"/>
    </row>
    <row r="27" spans="1:5" x14ac:dyDescent="0.25">
      <c r="A27" s="6" t="s">
        <v>67</v>
      </c>
      <c r="B27" s="6" t="s">
        <v>20</v>
      </c>
      <c r="C27" s="7">
        <v>8.4</v>
      </c>
      <c r="D27" s="7">
        <v>8.4</v>
      </c>
      <c r="E27" s="6"/>
    </row>
    <row r="28" spans="1:5" x14ac:dyDescent="0.25">
      <c r="A28" s="6" t="s">
        <v>68</v>
      </c>
      <c r="B28" s="6" t="s">
        <v>20</v>
      </c>
      <c r="C28" s="7">
        <v>5.87</v>
      </c>
      <c r="D28" s="7">
        <v>5.87</v>
      </c>
      <c r="E28" s="6"/>
    </row>
    <row r="29" spans="1:5" x14ac:dyDescent="0.25">
      <c r="A29" s="6" t="s">
        <v>69</v>
      </c>
      <c r="B29" s="6" t="s">
        <v>20</v>
      </c>
      <c r="C29" s="7">
        <v>8.07</v>
      </c>
      <c r="D29" s="7">
        <v>8.07</v>
      </c>
      <c r="E29" s="6"/>
    </row>
    <row r="30" spans="1:5" x14ac:dyDescent="0.25">
      <c r="A30" s="6" t="s">
        <v>70</v>
      </c>
      <c r="B30" s="6" t="s">
        <v>20</v>
      </c>
      <c r="C30" s="7">
        <v>4.7699999999999996</v>
      </c>
      <c r="D30" s="7">
        <v>4.7699999999999996</v>
      </c>
      <c r="E30" s="6"/>
    </row>
    <row r="31" spans="1:5" x14ac:dyDescent="0.25">
      <c r="A31" s="6" t="s">
        <v>71</v>
      </c>
      <c r="B31" s="6" t="s">
        <v>20</v>
      </c>
      <c r="C31" s="7">
        <v>5.87</v>
      </c>
      <c r="D31" s="7">
        <v>5.87</v>
      </c>
      <c r="E31" s="6"/>
    </row>
    <row r="32" spans="1:5" x14ac:dyDescent="0.25">
      <c r="A32" s="6" t="s">
        <v>72</v>
      </c>
      <c r="B32" s="6" t="s">
        <v>20</v>
      </c>
      <c r="C32" s="7">
        <v>4.7699999999999996</v>
      </c>
      <c r="D32" s="7">
        <v>4.7699999999999996</v>
      </c>
      <c r="E32" s="6"/>
    </row>
    <row r="33" spans="1:5" x14ac:dyDescent="0.25">
      <c r="A33" s="6" t="s">
        <v>73</v>
      </c>
      <c r="B33" s="6" t="s">
        <v>20</v>
      </c>
      <c r="C33" s="7">
        <v>7.1</v>
      </c>
      <c r="D33" s="7">
        <v>7.1</v>
      </c>
      <c r="E33" s="6"/>
    </row>
    <row r="34" spans="1:5" x14ac:dyDescent="0.25">
      <c r="A34" s="6" t="s">
        <v>74</v>
      </c>
      <c r="B34" s="6" t="s">
        <v>20</v>
      </c>
      <c r="C34" s="7">
        <v>8.8000000000000007</v>
      </c>
      <c r="D34" s="7">
        <v>8.8000000000000007</v>
      </c>
      <c r="E34" s="6"/>
    </row>
    <row r="35" spans="1:5" x14ac:dyDescent="0.25">
      <c r="A35" s="6" t="s">
        <v>75</v>
      </c>
      <c r="B35" s="6" t="s">
        <v>20</v>
      </c>
      <c r="C35" s="7">
        <v>8.4</v>
      </c>
      <c r="D35" s="7">
        <v>8.4</v>
      </c>
      <c r="E35" s="6"/>
    </row>
    <row r="36" spans="1:5" x14ac:dyDescent="0.25">
      <c r="A36" s="6" t="s">
        <v>76</v>
      </c>
      <c r="B36" s="6" t="s">
        <v>20</v>
      </c>
      <c r="C36" s="7">
        <v>4.7699999999999996</v>
      </c>
      <c r="D36" s="7">
        <v>4.7699999999999996</v>
      </c>
      <c r="E36" s="6"/>
    </row>
    <row r="37" spans="1:5" x14ac:dyDescent="0.25">
      <c r="A37" s="6" t="s">
        <v>77</v>
      </c>
      <c r="B37" s="6" t="s">
        <v>20</v>
      </c>
      <c r="C37" s="7">
        <v>5.87</v>
      </c>
      <c r="D37" s="7">
        <v>5.87</v>
      </c>
      <c r="E37" s="6"/>
    </row>
    <row r="38" spans="1:5" x14ac:dyDescent="0.25">
      <c r="A38" s="6" t="s">
        <v>78</v>
      </c>
      <c r="B38" s="6" t="s">
        <v>20</v>
      </c>
      <c r="C38" s="7">
        <v>4.8499999999999996</v>
      </c>
      <c r="D38" s="7">
        <v>4.8499999999999996</v>
      </c>
      <c r="E38" s="6"/>
    </row>
    <row r="39" spans="1:5" x14ac:dyDescent="0.25">
      <c r="A39" s="6" t="s">
        <v>79</v>
      </c>
      <c r="B39" s="6" t="s">
        <v>20</v>
      </c>
      <c r="C39" s="7">
        <v>8.4</v>
      </c>
      <c r="D39" s="7">
        <v>8.4</v>
      </c>
      <c r="E39" s="6"/>
    </row>
    <row r="40" spans="1:5" x14ac:dyDescent="0.25">
      <c r="A40" s="6" t="s">
        <v>339</v>
      </c>
      <c r="B40" s="6" t="s">
        <v>20</v>
      </c>
      <c r="C40" s="7">
        <v>4.7699999999999996</v>
      </c>
      <c r="D40" s="7">
        <v>4.7699999999999996</v>
      </c>
      <c r="E40" s="6"/>
    </row>
    <row r="41" spans="1:5" x14ac:dyDescent="0.25">
      <c r="A41" s="6" t="s">
        <v>381</v>
      </c>
      <c r="B41" s="6" t="s">
        <v>20</v>
      </c>
      <c r="C41" s="7">
        <v>4.3600000000000003</v>
      </c>
      <c r="D41" s="7">
        <v>4.3600000000000003</v>
      </c>
      <c r="E41" s="6"/>
    </row>
    <row r="42" spans="1:5" x14ac:dyDescent="0.25">
      <c r="A42" s="6" t="s">
        <v>340</v>
      </c>
      <c r="B42" s="6" t="s">
        <v>20</v>
      </c>
      <c r="C42" s="7">
        <v>12.5</v>
      </c>
      <c r="D42" s="7">
        <v>12.5</v>
      </c>
      <c r="E42" s="6"/>
    </row>
    <row r="43" spans="1:5" x14ac:dyDescent="0.25">
      <c r="A43" s="6" t="s">
        <v>382</v>
      </c>
      <c r="B43" s="6" t="s">
        <v>366</v>
      </c>
      <c r="C43" s="7">
        <v>9.01</v>
      </c>
      <c r="D43" s="7">
        <v>9.01</v>
      </c>
      <c r="E43" s="6"/>
    </row>
    <row r="44" spans="1:5" x14ac:dyDescent="0.25">
      <c r="A44" s="6" t="s">
        <v>383</v>
      </c>
      <c r="B44" s="6" t="s">
        <v>368</v>
      </c>
      <c r="C44" s="7">
        <v>8.08</v>
      </c>
      <c r="D44" s="7">
        <v>8.08</v>
      </c>
      <c r="E44" s="6"/>
    </row>
    <row r="45" spans="1:5" x14ac:dyDescent="0.25">
      <c r="A45" s="6" t="s">
        <v>341</v>
      </c>
      <c r="B45" s="6" t="s">
        <v>20</v>
      </c>
      <c r="C45" s="7">
        <v>4.7699999999999996</v>
      </c>
      <c r="D45" s="7">
        <v>4.7699999999999996</v>
      </c>
      <c r="E45" s="6"/>
    </row>
    <row r="46" spans="1:5" x14ac:dyDescent="0.25">
      <c r="A46" s="6" t="s">
        <v>342</v>
      </c>
      <c r="B46" s="6" t="s">
        <v>20</v>
      </c>
      <c r="C46" s="7">
        <v>4.7699999999999996</v>
      </c>
      <c r="D46" s="7">
        <v>4.7699999999999996</v>
      </c>
      <c r="E46" s="6"/>
    </row>
    <row r="47" spans="1:5" x14ac:dyDescent="0.25">
      <c r="A47" s="6" t="s">
        <v>394</v>
      </c>
      <c r="B47" s="6" t="s">
        <v>20</v>
      </c>
      <c r="C47" s="7">
        <v>4.3600000000000003</v>
      </c>
      <c r="D47" s="7">
        <v>4.3600000000000003</v>
      </c>
      <c r="E47" s="6"/>
    </row>
    <row r="48" spans="1:5" x14ac:dyDescent="0.25">
      <c r="A48" s="6" t="s">
        <v>343</v>
      </c>
      <c r="B48" s="6" t="s">
        <v>20</v>
      </c>
      <c r="C48" s="7">
        <v>4.3600000000000003</v>
      </c>
      <c r="D48" s="7">
        <v>4.3600000000000003</v>
      </c>
      <c r="E48" s="6"/>
    </row>
    <row r="49" spans="1:5" x14ac:dyDescent="0.25">
      <c r="A49" s="6" t="s">
        <v>344</v>
      </c>
      <c r="B49" s="6" t="s">
        <v>20</v>
      </c>
      <c r="C49" s="7">
        <v>4.8499999999999996</v>
      </c>
      <c r="D49" s="7">
        <v>4.8499999999999996</v>
      </c>
      <c r="E49" s="6"/>
    </row>
    <row r="50" spans="1:5" x14ac:dyDescent="0.25">
      <c r="A50" s="6" t="s">
        <v>345</v>
      </c>
      <c r="B50" s="6" t="s">
        <v>20</v>
      </c>
      <c r="C50" s="7">
        <v>4.3600000000000003</v>
      </c>
      <c r="D50" s="7">
        <v>4.3600000000000003</v>
      </c>
      <c r="E50" s="6"/>
    </row>
    <row r="51" spans="1:5" x14ac:dyDescent="0.25">
      <c r="A51" s="6" t="s">
        <v>346</v>
      </c>
      <c r="B51" s="6" t="s">
        <v>20</v>
      </c>
      <c r="C51" s="7">
        <v>4.3600000000000003</v>
      </c>
      <c r="D51" s="7">
        <v>4.3600000000000003</v>
      </c>
      <c r="E51" s="6"/>
    </row>
    <row r="52" spans="1:5" x14ac:dyDescent="0.25">
      <c r="A52" s="6" t="s">
        <v>384</v>
      </c>
      <c r="B52" s="6" t="s">
        <v>20</v>
      </c>
      <c r="C52" s="7">
        <v>4.3600000000000003</v>
      </c>
      <c r="D52" s="7">
        <v>4.3600000000000003</v>
      </c>
      <c r="E52" s="6"/>
    </row>
    <row r="53" spans="1:5" x14ac:dyDescent="0.25">
      <c r="A53" s="6" t="s">
        <v>395</v>
      </c>
      <c r="B53" s="6" t="s">
        <v>20</v>
      </c>
      <c r="C53" s="7">
        <v>4.3600000000000003</v>
      </c>
      <c r="D53" s="7">
        <v>4.3600000000000003</v>
      </c>
      <c r="E53" s="6"/>
    </row>
    <row r="54" spans="1:5" x14ac:dyDescent="0.25">
      <c r="A54" s="6" t="s">
        <v>347</v>
      </c>
      <c r="B54" s="6" t="s">
        <v>20</v>
      </c>
      <c r="C54" s="7">
        <v>4.7699999999999996</v>
      </c>
      <c r="D54" s="7">
        <v>4.7699999999999996</v>
      </c>
      <c r="E54" s="6"/>
    </row>
    <row r="55" spans="1:5" x14ac:dyDescent="0.25">
      <c r="A55" s="6" t="s">
        <v>385</v>
      </c>
      <c r="B55" s="6" t="s">
        <v>20</v>
      </c>
      <c r="C55" s="7">
        <v>4.3600000000000003</v>
      </c>
      <c r="D55" s="7">
        <v>4.3600000000000003</v>
      </c>
      <c r="E55" s="6"/>
    </row>
    <row r="56" spans="1:5" x14ac:dyDescent="0.25">
      <c r="A56" s="6" t="s">
        <v>386</v>
      </c>
      <c r="B56" s="6" t="s">
        <v>20</v>
      </c>
      <c r="C56" s="7">
        <v>4.3600000000000003</v>
      </c>
      <c r="D56" s="7">
        <v>4.3600000000000003</v>
      </c>
      <c r="E56" s="6"/>
    </row>
    <row r="57" spans="1:5" x14ac:dyDescent="0.25">
      <c r="A57" s="6" t="s">
        <v>349</v>
      </c>
      <c r="B57" s="6" t="s">
        <v>20</v>
      </c>
      <c r="C57" s="7">
        <v>4.3600000000000003</v>
      </c>
      <c r="D57" s="7">
        <v>4.3600000000000003</v>
      </c>
      <c r="E57" s="6"/>
    </row>
    <row r="58" spans="1:5" x14ac:dyDescent="0.25">
      <c r="A58" s="6" t="s">
        <v>387</v>
      </c>
      <c r="B58" s="6" t="s">
        <v>20</v>
      </c>
      <c r="C58" s="7">
        <f>11.62+11.62</f>
        <v>23.24</v>
      </c>
      <c r="D58" s="7">
        <f>11.62+11.62</f>
        <v>23.24</v>
      </c>
      <c r="E58" s="6"/>
    </row>
    <row r="59" spans="1:5" x14ac:dyDescent="0.25">
      <c r="A59" s="6" t="s">
        <v>350</v>
      </c>
      <c r="B59" s="6" t="s">
        <v>20</v>
      </c>
      <c r="C59" s="7">
        <v>4.3600000000000003</v>
      </c>
      <c r="D59" s="7">
        <v>4.3600000000000003</v>
      </c>
      <c r="E59" s="6"/>
    </row>
    <row r="60" spans="1:5" x14ac:dyDescent="0.25">
      <c r="A60" s="6" t="s">
        <v>348</v>
      </c>
      <c r="B60" s="6" t="s">
        <v>20</v>
      </c>
      <c r="C60" s="7">
        <v>4.3600000000000003</v>
      </c>
      <c r="D60" s="7">
        <v>4.3600000000000003</v>
      </c>
      <c r="E60" s="6"/>
    </row>
    <row r="61" spans="1:5" x14ac:dyDescent="0.25">
      <c r="A61" s="6" t="s">
        <v>351</v>
      </c>
      <c r="B61" s="6" t="s">
        <v>20</v>
      </c>
      <c r="C61" s="7">
        <v>4.7699999999999996</v>
      </c>
      <c r="D61" s="7">
        <v>4.7699999999999996</v>
      </c>
      <c r="E61" s="6"/>
    </row>
    <row r="62" spans="1:5" x14ac:dyDescent="0.25">
      <c r="A62" s="6" t="s">
        <v>388</v>
      </c>
      <c r="B62" s="6" t="s">
        <v>368</v>
      </c>
      <c r="C62" s="7">
        <v>9.61</v>
      </c>
      <c r="D62" s="7">
        <v>9.61</v>
      </c>
      <c r="E62" s="6"/>
    </row>
    <row r="63" spans="1:5" x14ac:dyDescent="0.25">
      <c r="A63" s="6" t="s">
        <v>352</v>
      </c>
      <c r="B63" s="6" t="s">
        <v>20</v>
      </c>
      <c r="C63" s="7">
        <v>4.3600000000000003</v>
      </c>
      <c r="D63" s="7">
        <v>4.3600000000000003</v>
      </c>
      <c r="E63" s="6"/>
    </row>
    <row r="64" spans="1:5" x14ac:dyDescent="0.25">
      <c r="A64" s="6" t="s">
        <v>389</v>
      </c>
      <c r="B64" s="6" t="s">
        <v>20</v>
      </c>
      <c r="C64" s="7">
        <v>4.8499999999999996</v>
      </c>
      <c r="D64" s="7">
        <v>4.8499999999999996</v>
      </c>
      <c r="E64" s="6"/>
    </row>
    <row r="65" spans="1:5" x14ac:dyDescent="0.25">
      <c r="A65" s="6" t="s">
        <v>405</v>
      </c>
      <c r="B65" s="6" t="s">
        <v>20</v>
      </c>
      <c r="C65" s="7">
        <v>4.3600000000000003</v>
      </c>
      <c r="D65" s="7">
        <v>4.3600000000000003</v>
      </c>
      <c r="E65" s="6"/>
    </row>
    <row r="66" spans="1:5" x14ac:dyDescent="0.25">
      <c r="A66" s="6" t="s">
        <v>353</v>
      </c>
      <c r="B66" s="6" t="s">
        <v>20</v>
      </c>
      <c r="C66" s="7">
        <v>4.3600000000000003</v>
      </c>
      <c r="D66" s="7">
        <v>4.3600000000000003</v>
      </c>
      <c r="E66" s="6"/>
    </row>
    <row r="67" spans="1:5" x14ac:dyDescent="0.25">
      <c r="A67" s="6" t="s">
        <v>354</v>
      </c>
      <c r="B67" s="6" t="s">
        <v>20</v>
      </c>
      <c r="C67" s="7">
        <v>4.8499999999999996</v>
      </c>
      <c r="D67" s="7">
        <v>4.8499999999999996</v>
      </c>
      <c r="E67" s="6"/>
    </row>
    <row r="68" spans="1:5" x14ac:dyDescent="0.25">
      <c r="A68" s="6" t="s">
        <v>390</v>
      </c>
      <c r="B68" s="6" t="s">
        <v>368</v>
      </c>
      <c r="C68" s="7">
        <v>8.08</v>
      </c>
      <c r="D68" s="7">
        <v>8.08</v>
      </c>
      <c r="E68" s="6"/>
    </row>
    <row r="69" spans="1:5" x14ac:dyDescent="0.25">
      <c r="A69" s="6" t="s">
        <v>391</v>
      </c>
      <c r="B69" s="6" t="s">
        <v>368</v>
      </c>
      <c r="C69" s="7">
        <v>7.35</v>
      </c>
      <c r="D69" s="7">
        <v>7.35</v>
      </c>
      <c r="E69" s="6"/>
    </row>
    <row r="70" spans="1:5" x14ac:dyDescent="0.25">
      <c r="A70" s="6" t="s">
        <v>392</v>
      </c>
      <c r="B70" s="6" t="s">
        <v>20</v>
      </c>
      <c r="C70" s="7">
        <v>9.69</v>
      </c>
      <c r="D70" s="7">
        <v>9.69</v>
      </c>
      <c r="E70" s="6"/>
    </row>
    <row r="71" spans="1:5" x14ac:dyDescent="0.25">
      <c r="A71" s="6" t="s">
        <v>355</v>
      </c>
      <c r="B71" s="6" t="s">
        <v>20</v>
      </c>
      <c r="C71" s="7">
        <v>4.3600000000000003</v>
      </c>
      <c r="D71" s="7">
        <v>4.3600000000000003</v>
      </c>
      <c r="E71" s="6"/>
    </row>
    <row r="72" spans="1:5" x14ac:dyDescent="0.25">
      <c r="A72" s="6" t="s">
        <v>356</v>
      </c>
      <c r="B72" s="6" t="s">
        <v>20</v>
      </c>
      <c r="C72" s="7">
        <v>4.3600000000000003</v>
      </c>
      <c r="D72" s="7">
        <v>4.3600000000000003</v>
      </c>
      <c r="E72" s="6"/>
    </row>
    <row r="73" spans="1:5" x14ac:dyDescent="0.25">
      <c r="A73" s="6" t="s">
        <v>357</v>
      </c>
      <c r="B73" s="6" t="s">
        <v>20</v>
      </c>
      <c r="C73" s="7">
        <v>4.3600000000000003</v>
      </c>
      <c r="D73" s="7">
        <v>4.3600000000000003</v>
      </c>
      <c r="E73" s="6"/>
    </row>
    <row r="74" spans="1:5" x14ac:dyDescent="0.25">
      <c r="A74" s="6" t="s">
        <v>358</v>
      </c>
      <c r="B74" s="6" t="s">
        <v>20</v>
      </c>
      <c r="C74" s="7">
        <v>4.7699999999999996</v>
      </c>
      <c r="D74" s="7">
        <v>4.7699999999999996</v>
      </c>
      <c r="E74" s="6"/>
    </row>
    <row r="75" spans="1:5" x14ac:dyDescent="0.25">
      <c r="A75" s="6" t="s">
        <v>359</v>
      </c>
      <c r="B75" s="6" t="s">
        <v>20</v>
      </c>
      <c r="C75" s="7">
        <v>4.3600000000000003</v>
      </c>
      <c r="D75" s="7">
        <v>4.3600000000000003</v>
      </c>
      <c r="E75" s="6"/>
    </row>
    <row r="76" spans="1:5" x14ac:dyDescent="0.25">
      <c r="A76" s="6" t="s">
        <v>396</v>
      </c>
      <c r="B76" s="6" t="s">
        <v>20</v>
      </c>
      <c r="C76" s="7">
        <v>4.3600000000000003</v>
      </c>
      <c r="D76" s="7">
        <v>4.3600000000000003</v>
      </c>
      <c r="E76" s="6"/>
    </row>
    <row r="77" spans="1:5" x14ac:dyDescent="0.25">
      <c r="A77" s="6" t="s">
        <v>393</v>
      </c>
      <c r="B77" s="6" t="s">
        <v>20</v>
      </c>
      <c r="C77" s="7">
        <v>4.3600000000000003</v>
      </c>
      <c r="D77" s="7">
        <v>4.3600000000000003</v>
      </c>
      <c r="E77" s="6"/>
    </row>
    <row r="78" spans="1:5" x14ac:dyDescent="0.25">
      <c r="A78" s="6" t="s">
        <v>360</v>
      </c>
      <c r="B78" s="6" t="s">
        <v>20</v>
      </c>
      <c r="C78" s="7">
        <v>4.7699999999999996</v>
      </c>
      <c r="D78" s="7">
        <v>4.7699999999999996</v>
      </c>
      <c r="E78" s="6"/>
    </row>
    <row r="79" spans="1:5" x14ac:dyDescent="0.25">
      <c r="A79" s="6" t="s">
        <v>361</v>
      </c>
      <c r="B79" s="6" t="s">
        <v>20</v>
      </c>
      <c r="C79" s="7">
        <v>4.3600000000000003</v>
      </c>
      <c r="D79" s="7">
        <v>4.3600000000000003</v>
      </c>
      <c r="E79" s="6"/>
    </row>
    <row r="80" spans="1:5" x14ac:dyDescent="0.25">
      <c r="A80" s="6" t="s">
        <v>362</v>
      </c>
      <c r="B80" s="6" t="s">
        <v>20</v>
      </c>
      <c r="C80" s="7">
        <v>4.3600000000000003</v>
      </c>
      <c r="D80" s="7">
        <v>4.3600000000000003</v>
      </c>
      <c r="E80" s="6"/>
    </row>
    <row r="81" spans="1:5" x14ac:dyDescent="0.25">
      <c r="A81" s="36" t="s">
        <v>500</v>
      </c>
      <c r="B81" s="6" t="s">
        <v>20</v>
      </c>
      <c r="C81" s="7">
        <v>4.3600000000000003</v>
      </c>
      <c r="D81" s="7">
        <v>4.3600000000000003</v>
      </c>
      <c r="E81" s="36"/>
    </row>
    <row r="82" spans="1:5" x14ac:dyDescent="0.25">
      <c r="A82" s="6" t="s">
        <v>501</v>
      </c>
      <c r="B82" s="6" t="s">
        <v>20</v>
      </c>
      <c r="C82" s="7">
        <v>4.66</v>
      </c>
      <c r="D82" s="7">
        <v>4.66</v>
      </c>
      <c r="E82" s="6"/>
    </row>
    <row r="83" spans="1:5" x14ac:dyDescent="0.25">
      <c r="A83" s="36" t="s">
        <v>498</v>
      </c>
      <c r="B83" s="6" t="s">
        <v>20</v>
      </c>
      <c r="C83" s="7">
        <v>10</v>
      </c>
      <c r="D83" s="7">
        <v>10</v>
      </c>
      <c r="E83" s="36"/>
    </row>
    <row r="84" spans="1:5" x14ac:dyDescent="0.25">
      <c r="A84" s="6" t="s">
        <v>504</v>
      </c>
      <c r="B84" s="6" t="s">
        <v>20</v>
      </c>
      <c r="C84" s="7">
        <v>4.3600000000000003</v>
      </c>
      <c r="D84" s="7">
        <v>4.3600000000000003</v>
      </c>
      <c r="E84" s="6"/>
    </row>
    <row r="85" spans="1:5" x14ac:dyDescent="0.25">
      <c r="A85" s="36" t="s">
        <v>505</v>
      </c>
      <c r="B85" s="6" t="s">
        <v>20</v>
      </c>
      <c r="C85" s="7">
        <v>4.3600000000000003</v>
      </c>
      <c r="D85" s="7">
        <v>4.3600000000000003</v>
      </c>
      <c r="E85" s="36"/>
    </row>
    <row r="86" spans="1:5" x14ac:dyDescent="0.25">
      <c r="A86" s="6" t="s">
        <v>506</v>
      </c>
      <c r="B86" s="6" t="s">
        <v>20</v>
      </c>
      <c r="C86" s="7">
        <v>4.3600000000000003</v>
      </c>
      <c r="D86" s="7">
        <v>4.3600000000000003</v>
      </c>
      <c r="E86" s="6"/>
    </row>
    <row r="87" spans="1:5" x14ac:dyDescent="0.25">
      <c r="A87" s="36" t="s">
        <v>413</v>
      </c>
      <c r="B87" s="6" t="s">
        <v>20</v>
      </c>
      <c r="C87" s="7">
        <v>4.7699999999999996</v>
      </c>
      <c r="D87" s="7">
        <v>4.7699999999999996</v>
      </c>
      <c r="E87" s="36"/>
    </row>
    <row r="88" spans="1:5" x14ac:dyDescent="0.25">
      <c r="A88" s="6" t="s">
        <v>508</v>
      </c>
      <c r="B88" s="6" t="s">
        <v>20</v>
      </c>
      <c r="C88" s="7">
        <v>4.7699999999999996</v>
      </c>
      <c r="D88" s="7">
        <v>4.7699999999999996</v>
      </c>
      <c r="E88" s="6"/>
    </row>
    <row r="89" spans="1:5" x14ac:dyDescent="0.25">
      <c r="A89" s="36" t="s">
        <v>509</v>
      </c>
      <c r="B89" s="6" t="s">
        <v>20</v>
      </c>
      <c r="C89" s="7">
        <v>4.3600000000000003</v>
      </c>
      <c r="D89" s="7">
        <v>4.3600000000000003</v>
      </c>
      <c r="E89" s="36"/>
    </row>
    <row r="90" spans="1:5" x14ac:dyDescent="0.25">
      <c r="A90" s="6" t="s">
        <v>510</v>
      </c>
      <c r="B90" s="6" t="s">
        <v>20</v>
      </c>
      <c r="C90" s="7">
        <v>4.3600000000000003</v>
      </c>
      <c r="D90" s="7">
        <v>4.3600000000000003</v>
      </c>
      <c r="E90" s="6"/>
    </row>
    <row r="91" spans="1:5" x14ac:dyDescent="0.25">
      <c r="A91" s="36" t="s">
        <v>519</v>
      </c>
      <c r="B91" s="6" t="s">
        <v>20</v>
      </c>
      <c r="C91" s="7">
        <v>4.8499999999999996</v>
      </c>
      <c r="D91" s="7">
        <v>4.8499999999999996</v>
      </c>
      <c r="E91" s="36"/>
    </row>
    <row r="92" spans="1:5" x14ac:dyDescent="0.25">
      <c r="A92" s="37" t="s">
        <v>415</v>
      </c>
      <c r="B92" s="6" t="s">
        <v>20</v>
      </c>
      <c r="C92" s="7">
        <v>5.87</v>
      </c>
      <c r="D92" s="7">
        <v>5.87</v>
      </c>
      <c r="E92" s="6"/>
    </row>
    <row r="93" spans="1:5" x14ac:dyDescent="0.25">
      <c r="A93" s="38" t="s">
        <v>526</v>
      </c>
      <c r="B93" s="6" t="s">
        <v>20</v>
      </c>
      <c r="C93" s="7">
        <v>4.7699999999999996</v>
      </c>
      <c r="D93" s="7">
        <v>4.7699999999999996</v>
      </c>
      <c r="E93" s="36"/>
    </row>
    <row r="94" spans="1:5" x14ac:dyDescent="0.25">
      <c r="A94" s="37" t="s">
        <v>551</v>
      </c>
      <c r="B94" s="6" t="s">
        <v>20</v>
      </c>
      <c r="C94" s="7">
        <v>4.8499999999999996</v>
      </c>
      <c r="D94" s="7">
        <v>4.8499999999999996</v>
      </c>
      <c r="E94" s="36"/>
    </row>
    <row r="95" spans="1:5" x14ac:dyDescent="0.25">
      <c r="A95" s="37" t="s">
        <v>569</v>
      </c>
      <c r="B95" s="6" t="s">
        <v>20</v>
      </c>
      <c r="C95" s="7">
        <v>4.3600000000000003</v>
      </c>
      <c r="D95" s="7">
        <v>4.3600000000000003</v>
      </c>
      <c r="E95" s="36"/>
    </row>
    <row r="96" spans="1:5" x14ac:dyDescent="0.25">
      <c r="A96" s="37" t="s">
        <v>573</v>
      </c>
      <c r="B96" s="6" t="s">
        <v>20</v>
      </c>
      <c r="C96" s="7">
        <v>4.7699999999999996</v>
      </c>
      <c r="D96" s="7">
        <v>4.7699999999999996</v>
      </c>
      <c r="E96" s="36"/>
    </row>
    <row r="97" spans="1:5" x14ac:dyDescent="0.25">
      <c r="A97" s="38" t="s">
        <v>497</v>
      </c>
      <c r="B97" s="6" t="s">
        <v>20</v>
      </c>
      <c r="C97" s="7">
        <v>4.3600000000000003</v>
      </c>
      <c r="D97" s="7">
        <v>4.3600000000000003</v>
      </c>
      <c r="E97" s="36"/>
    </row>
    <row r="98" spans="1:5" x14ac:dyDescent="0.25">
      <c r="A98" s="38" t="s">
        <v>499</v>
      </c>
      <c r="B98" s="6" t="s">
        <v>20</v>
      </c>
      <c r="C98" s="7">
        <v>4.3600000000000003</v>
      </c>
      <c r="D98" s="7">
        <v>4.3600000000000003</v>
      </c>
      <c r="E98" s="36"/>
    </row>
    <row r="99" spans="1:5" x14ac:dyDescent="0.25">
      <c r="A99" s="38" t="s">
        <v>502</v>
      </c>
      <c r="B99" s="6" t="s">
        <v>20</v>
      </c>
      <c r="C99" s="7">
        <v>5.87</v>
      </c>
      <c r="D99" s="7">
        <v>5.87</v>
      </c>
      <c r="E99" s="36"/>
    </row>
    <row r="100" spans="1:5" x14ac:dyDescent="0.25">
      <c r="A100" s="38" t="s">
        <v>503</v>
      </c>
      <c r="B100" s="6" t="s">
        <v>20</v>
      </c>
      <c r="C100" s="7">
        <v>4.7699999999999996</v>
      </c>
      <c r="D100" s="7">
        <v>4.7699999999999996</v>
      </c>
      <c r="E100" s="36"/>
    </row>
    <row r="101" spans="1:5" x14ac:dyDescent="0.25">
      <c r="A101" s="38" t="s">
        <v>410</v>
      </c>
      <c r="B101" s="6" t="s">
        <v>20</v>
      </c>
      <c r="C101" s="7">
        <f>7.4/1.22</f>
        <v>6.0655737704918034</v>
      </c>
      <c r="D101" s="7">
        <f>7.4/1.22</f>
        <v>6.0655737704918034</v>
      </c>
      <c r="E101" s="36"/>
    </row>
    <row r="102" spans="1:5" x14ac:dyDescent="0.25">
      <c r="A102" s="38" t="s">
        <v>412</v>
      </c>
      <c r="B102" s="6" t="s">
        <v>20</v>
      </c>
      <c r="C102" s="7">
        <v>5.87</v>
      </c>
      <c r="D102" s="7">
        <v>5.87</v>
      </c>
      <c r="E102" s="36"/>
    </row>
    <row r="103" spans="1:5" x14ac:dyDescent="0.25">
      <c r="A103" s="37" t="s">
        <v>556</v>
      </c>
      <c r="B103" s="6" t="s">
        <v>20</v>
      </c>
      <c r="C103" s="7">
        <v>4.3600000000000003</v>
      </c>
      <c r="D103" s="7">
        <v>4.3600000000000003</v>
      </c>
      <c r="E103" s="36"/>
    </row>
    <row r="104" spans="1:5" x14ac:dyDescent="0.25">
      <c r="A104" s="38" t="s">
        <v>598</v>
      </c>
      <c r="B104" s="6" t="s">
        <v>20</v>
      </c>
      <c r="C104" s="7">
        <v>4.3600000000000003</v>
      </c>
      <c r="D104" s="7">
        <v>4.3600000000000003</v>
      </c>
      <c r="E104" s="36"/>
    </row>
    <row r="105" spans="1:5" x14ac:dyDescent="0.25">
      <c r="A105" s="38" t="s">
        <v>600</v>
      </c>
      <c r="B105" s="6" t="s">
        <v>20</v>
      </c>
      <c r="C105" s="7">
        <v>6.75</v>
      </c>
      <c r="D105" s="7">
        <v>6.75</v>
      </c>
      <c r="E105" s="36"/>
    </row>
    <row r="106" spans="1:5" x14ac:dyDescent="0.25">
      <c r="A106" s="37" t="s">
        <v>602</v>
      </c>
      <c r="B106" s="6" t="s">
        <v>20</v>
      </c>
      <c r="C106" s="7">
        <v>4.3600000000000003</v>
      </c>
      <c r="D106" s="7">
        <v>4.3600000000000003</v>
      </c>
      <c r="E106" s="36"/>
    </row>
    <row r="107" spans="1:5" x14ac:dyDescent="0.25">
      <c r="A107" s="37" t="s">
        <v>411</v>
      </c>
      <c r="B107" s="6" t="s">
        <v>20</v>
      </c>
      <c r="C107" s="7">
        <v>4.8499999999999996</v>
      </c>
      <c r="D107" s="7">
        <v>4.8499999999999996</v>
      </c>
      <c r="E107" s="36"/>
    </row>
    <row r="108" spans="1:5" x14ac:dyDescent="0.25">
      <c r="A108" s="38" t="s">
        <v>616</v>
      </c>
      <c r="B108" s="6" t="s">
        <v>368</v>
      </c>
      <c r="C108" s="7">
        <v>8.08</v>
      </c>
      <c r="D108" s="7">
        <v>8.08</v>
      </c>
      <c r="E108" s="36"/>
    </row>
    <row r="109" spans="1:5" x14ac:dyDescent="0.25">
      <c r="A109" s="38" t="s">
        <v>618</v>
      </c>
      <c r="B109" s="6" t="s">
        <v>368</v>
      </c>
      <c r="C109" s="7">
        <v>8.08</v>
      </c>
      <c r="D109" s="7">
        <v>8.08</v>
      </c>
      <c r="E109" s="36"/>
    </row>
    <row r="110" spans="1:5" x14ac:dyDescent="0.25">
      <c r="A110" s="24" t="s">
        <v>627</v>
      </c>
      <c r="B110" s="6" t="s">
        <v>20</v>
      </c>
      <c r="C110" s="7">
        <v>4.7699999999999996</v>
      </c>
      <c r="D110" s="7">
        <v>4.7699999999999996</v>
      </c>
    </row>
    <row r="111" spans="1:5" x14ac:dyDescent="0.25">
      <c r="A111" s="24" t="s">
        <v>414</v>
      </c>
      <c r="B111" s="6" t="s">
        <v>20</v>
      </c>
      <c r="C111" s="7">
        <v>4.8499999999999996</v>
      </c>
      <c r="D111" s="7">
        <v>4.8499999999999996</v>
      </c>
    </row>
    <row r="112" spans="1:5" x14ac:dyDescent="0.25">
      <c r="A112" s="57" t="s">
        <v>653</v>
      </c>
      <c r="B112" s="6" t="s">
        <v>20</v>
      </c>
      <c r="C112" s="7">
        <v>4.8499999999999996</v>
      </c>
      <c r="D112" s="7">
        <v>4.8499999999999996</v>
      </c>
    </row>
    <row r="113" spans="1:4" x14ac:dyDescent="0.25">
      <c r="A113" s="57" t="s">
        <v>634</v>
      </c>
      <c r="B113" s="6" t="s">
        <v>20</v>
      </c>
      <c r="C113" s="7">
        <v>4.7699999999999996</v>
      </c>
      <c r="D113" s="7">
        <v>4.76</v>
      </c>
    </row>
    <row r="114" spans="1:4" x14ac:dyDescent="0.25">
      <c r="A114" s="49" t="s">
        <v>713</v>
      </c>
      <c r="B114" s="6" t="s">
        <v>20</v>
      </c>
      <c r="C114" s="7">
        <v>4.7699999999999996</v>
      </c>
      <c r="D114" s="7">
        <v>4.7699999999999996</v>
      </c>
    </row>
    <row r="115" spans="1:4" x14ac:dyDescent="0.25">
      <c r="A115" t="s">
        <v>707</v>
      </c>
      <c r="B115" s="6" t="s">
        <v>20</v>
      </c>
      <c r="C115" s="7">
        <v>4.8499999999999996</v>
      </c>
      <c r="D115" s="7">
        <v>4.8499999999999996</v>
      </c>
    </row>
    <row r="116" spans="1:4" x14ac:dyDescent="0.25">
      <c r="A116" t="s">
        <v>708</v>
      </c>
      <c r="B116" s="6" t="s">
        <v>20</v>
      </c>
      <c r="C116" s="7">
        <v>4.7699999999999996</v>
      </c>
      <c r="D116" s="7">
        <v>4.7699999999999996</v>
      </c>
    </row>
    <row r="117" spans="1:4" x14ac:dyDescent="0.25">
      <c r="A117" t="s">
        <v>709</v>
      </c>
      <c r="B117" s="6" t="s">
        <v>20</v>
      </c>
      <c r="C117" s="7">
        <v>4.7699999999999996</v>
      </c>
      <c r="D117" s="7">
        <v>4.7699999999999996</v>
      </c>
    </row>
    <row r="118" spans="1:4" x14ac:dyDescent="0.25">
      <c r="A118" t="s">
        <v>710</v>
      </c>
      <c r="B118" s="6" t="s">
        <v>20</v>
      </c>
      <c r="C118" s="7">
        <v>4.8499999999999996</v>
      </c>
      <c r="D118" s="7">
        <v>4.8499999999999996</v>
      </c>
    </row>
    <row r="119" spans="1:4" x14ac:dyDescent="0.25">
      <c r="A119" t="s">
        <v>711</v>
      </c>
      <c r="B119" s="6" t="s">
        <v>20</v>
      </c>
      <c r="C119" s="7">
        <v>4.7699999999999996</v>
      </c>
      <c r="D119" s="7">
        <v>4.7699999999999996</v>
      </c>
    </row>
    <row r="120" spans="1:4" x14ac:dyDescent="0.25">
      <c r="A120" t="s">
        <v>712</v>
      </c>
      <c r="B120" s="6" t="s">
        <v>20</v>
      </c>
      <c r="C120" s="7">
        <v>4.7699999999999996</v>
      </c>
      <c r="D120" s="7">
        <v>4.7699999999999996</v>
      </c>
    </row>
    <row r="121" spans="1:4" x14ac:dyDescent="0.25">
      <c r="A121" s="67" t="s">
        <v>728</v>
      </c>
      <c r="B121" s="6" t="s">
        <v>20</v>
      </c>
      <c r="C121" s="7">
        <v>4.3600000000000003</v>
      </c>
      <c r="D121" s="7">
        <v>4.3600000000000003</v>
      </c>
    </row>
    <row r="122" spans="1:4" x14ac:dyDescent="0.25">
      <c r="A122" s="67" t="s">
        <v>730</v>
      </c>
      <c r="B122" s="6" t="s">
        <v>20</v>
      </c>
      <c r="C122" s="7">
        <v>4.3600000000000003</v>
      </c>
      <c r="D122" s="7">
        <v>4.3600000000000003</v>
      </c>
    </row>
    <row r="123" spans="1:4" x14ac:dyDescent="0.25">
      <c r="A123" s="77" t="s">
        <v>732</v>
      </c>
      <c r="B123" s="6" t="s">
        <v>20</v>
      </c>
      <c r="C123" s="7">
        <v>4.3600000000000003</v>
      </c>
      <c r="D123" s="7">
        <v>4.3600000000000003</v>
      </c>
    </row>
    <row r="124" spans="1:4" x14ac:dyDescent="0.25">
      <c r="A124" s="49" t="s">
        <v>735</v>
      </c>
      <c r="B124" s="6" t="s">
        <v>20</v>
      </c>
      <c r="C124" s="7">
        <v>4.8499999999999996</v>
      </c>
      <c r="D124" s="7">
        <v>4.8499999999999996</v>
      </c>
    </row>
    <row r="125" spans="1:4" x14ac:dyDescent="0.25">
      <c r="A125" s="11" t="s">
        <v>736</v>
      </c>
      <c r="B125" s="6" t="s">
        <v>20</v>
      </c>
      <c r="C125" s="99">
        <f>7.4/1.22</f>
        <v>6.0655737704918034</v>
      </c>
      <c r="D125" s="99">
        <f>7.4/1.22</f>
        <v>6.0655737704918034</v>
      </c>
    </row>
    <row r="126" spans="1:4" x14ac:dyDescent="0.25">
      <c r="A126" s="49" t="s">
        <v>802</v>
      </c>
      <c r="B126" s="6" t="s">
        <v>20</v>
      </c>
      <c r="C126" s="99">
        <v>5.87</v>
      </c>
      <c r="D126" s="99">
        <v>5.87</v>
      </c>
    </row>
    <row r="127" spans="1:4" x14ac:dyDescent="0.25">
      <c r="A127" s="57" t="s">
        <v>805</v>
      </c>
      <c r="B127" s="6" t="s">
        <v>20</v>
      </c>
      <c r="C127" s="99">
        <v>4.75</v>
      </c>
      <c r="D127" s="99">
        <v>4.75</v>
      </c>
    </row>
    <row r="128" spans="1:4" x14ac:dyDescent="0.25">
      <c r="A128" s="57" t="s">
        <v>808</v>
      </c>
      <c r="B128" s="6" t="s">
        <v>20</v>
      </c>
      <c r="C128" s="99">
        <v>4.3600000000000003</v>
      </c>
      <c r="D128" s="99">
        <v>4.3600000000000003</v>
      </c>
    </row>
    <row r="129" spans="1:4" x14ac:dyDescent="0.25">
      <c r="A129" t="s">
        <v>796</v>
      </c>
      <c r="B129" s="6" t="s">
        <v>20</v>
      </c>
      <c r="C129" s="99">
        <v>4.3600000000000003</v>
      </c>
      <c r="D129" s="99">
        <v>4.3600000000000003</v>
      </c>
    </row>
    <row r="130" spans="1:4" x14ac:dyDescent="0.25">
      <c r="A130" t="s">
        <v>797</v>
      </c>
      <c r="B130" s="6" t="s">
        <v>20</v>
      </c>
      <c r="C130" s="99">
        <v>4.43</v>
      </c>
      <c r="D130" s="99">
        <v>4.43</v>
      </c>
    </row>
    <row r="131" spans="1:4" x14ac:dyDescent="0.25">
      <c r="A131" s="57" t="s">
        <v>798</v>
      </c>
      <c r="B131" s="6" t="s">
        <v>20</v>
      </c>
      <c r="C131" s="99">
        <v>4.3600000000000003</v>
      </c>
      <c r="D131" s="99">
        <v>4.3600000000000003</v>
      </c>
    </row>
    <row r="132" spans="1:4" x14ac:dyDescent="0.25">
      <c r="A132" s="49" t="s">
        <v>799</v>
      </c>
      <c r="B132" s="6" t="s">
        <v>20</v>
      </c>
      <c r="C132" s="99">
        <v>4.7699999999999996</v>
      </c>
      <c r="D132" s="99">
        <v>4.7699999999999996</v>
      </c>
    </row>
    <row r="133" spans="1:4" x14ac:dyDescent="0.25">
      <c r="A133" s="49" t="s">
        <v>800</v>
      </c>
      <c r="B133" s="6" t="s">
        <v>20</v>
      </c>
      <c r="C133" s="99">
        <v>4.7699999999999996</v>
      </c>
      <c r="D133" s="99">
        <v>4.7699999999999996</v>
      </c>
    </row>
  </sheetData>
  <autoFilter ref="A1:E125" xr:uid="{79A51997-D6DE-4CD3-8593-FEB6F0DD48FB}"/>
  <phoneticPr fontId="8" type="noConversion"/>
  <dataValidations count="1">
    <dataValidation allowBlank="1" showInputMessage="1" sqref="A2:A40" xr:uid="{8A5BD9A4-C9AE-4403-84F3-57C73E6FAD1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6BCB346E-2A34-4349-807E-EFC4D5F15712}">
          <x14:formula1>
            <xm:f>'Prodotti Magazzino'!$A$2:$A$39</xm:f>
          </x14:formula1>
          <xm:sqref>A46:A54 A56:A61 A63:A69 A71:A80</xm:sqref>
        </x14:dataValidation>
        <x14:dataValidation type="list" allowBlank="1" showInputMessage="1" xr:uid="{8835664B-2708-4A46-80D7-F58AE84395C4}">
          <x14:formula1>
            <xm:f>'Prodotti Magazzino'!$A$2:$A$1000</xm:f>
          </x14:formula1>
          <xm:sqref>A81:A82 A84 A86:A91 A112 A115:A123 A126:A128 A131:A133</xm:sqref>
        </x14:dataValidation>
        <x14:dataValidation type="list" allowBlank="1" showInputMessage="1" xr:uid="{8D38DABB-A29E-46EF-BE3F-0286A1CC2CD0}">
          <x14:formula1>
            <xm:f>'Prodotti Magazzino'!$A$2:$A$4000</xm:f>
          </x14:formula1>
          <xm:sqref>A92:A111 A113:A114 A124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0C6D-DE4C-4A3C-8374-D07FB8A5640B}">
  <dimension ref="A1:B95"/>
  <sheetViews>
    <sheetView topLeftCell="A79" zoomScale="145" zoomScaleNormal="145" workbookViewId="0">
      <selection activeCell="A95" sqref="A95"/>
    </sheetView>
  </sheetViews>
  <sheetFormatPr defaultRowHeight="15" x14ac:dyDescent="0.25"/>
  <cols>
    <col min="1" max="1" width="24.5703125" customWidth="1"/>
    <col min="2" max="2" width="16.42578125" customWidth="1"/>
  </cols>
  <sheetData>
    <row r="1" spans="1:2" x14ac:dyDescent="0.25">
      <c r="A1" s="3" t="s">
        <v>4</v>
      </c>
      <c r="B1" s="5" t="s">
        <v>5</v>
      </c>
    </row>
    <row r="2" spans="1:2" x14ac:dyDescent="0.25">
      <c r="A2" s="40" t="s">
        <v>381</v>
      </c>
      <c r="B2" s="39">
        <f>1.86*1.22</f>
        <v>2.2692000000000001</v>
      </c>
    </row>
    <row r="3" spans="1:2" x14ac:dyDescent="0.25">
      <c r="A3" s="40" t="s">
        <v>340</v>
      </c>
      <c r="B3" s="39">
        <f>34.87*1.22</f>
        <v>42.541399999999996</v>
      </c>
    </row>
    <row r="4" spans="1:2" x14ac:dyDescent="0.25">
      <c r="A4" s="40" t="s">
        <v>382</v>
      </c>
      <c r="B4" s="39">
        <v>19.52</v>
      </c>
    </row>
    <row r="5" spans="1:2" x14ac:dyDescent="0.25">
      <c r="A5" s="40" t="s">
        <v>383</v>
      </c>
      <c r="B5" s="39">
        <v>124.26</v>
      </c>
    </row>
    <row r="6" spans="1:2" x14ac:dyDescent="0.25">
      <c r="A6" s="40" t="s">
        <v>341</v>
      </c>
      <c r="B6" s="39">
        <f>30.77/2</f>
        <v>15.385</v>
      </c>
    </row>
    <row r="7" spans="1:2" x14ac:dyDescent="0.25">
      <c r="A7" s="40" t="s">
        <v>342</v>
      </c>
      <c r="B7" s="39">
        <v>23.6675</v>
      </c>
    </row>
    <row r="8" spans="1:2" x14ac:dyDescent="0.25">
      <c r="A8" s="40" t="s">
        <v>394</v>
      </c>
      <c r="B8" s="39">
        <f>8.95*1.22</f>
        <v>10.918999999999999</v>
      </c>
    </row>
    <row r="9" spans="1:2" x14ac:dyDescent="0.25">
      <c r="A9" s="40" t="s">
        <v>343</v>
      </c>
      <c r="B9" s="39">
        <f>8.61*1.22</f>
        <v>10.504199999999999</v>
      </c>
    </row>
    <row r="10" spans="1:2" x14ac:dyDescent="0.25">
      <c r="A10" s="40" t="s">
        <v>344</v>
      </c>
      <c r="B10" s="39">
        <f>23.65*1.22</f>
        <v>28.852999999999998</v>
      </c>
    </row>
    <row r="11" spans="1:2" x14ac:dyDescent="0.25">
      <c r="A11" s="40" t="s">
        <v>339</v>
      </c>
      <c r="B11" s="39">
        <f>(12.61*1.22)/2</f>
        <v>7.692099999999999</v>
      </c>
    </row>
    <row r="12" spans="1:2" x14ac:dyDescent="0.25">
      <c r="A12" s="40" t="s">
        <v>345</v>
      </c>
      <c r="B12" s="39">
        <v>2.14</v>
      </c>
    </row>
    <row r="13" spans="1:2" x14ac:dyDescent="0.25">
      <c r="A13" s="40" t="s">
        <v>346</v>
      </c>
      <c r="B13" s="39">
        <f>2.28*1.22</f>
        <v>2.7815999999999996</v>
      </c>
    </row>
    <row r="14" spans="1:2" x14ac:dyDescent="0.25">
      <c r="A14" s="40" t="s">
        <v>394</v>
      </c>
      <c r="B14" s="39">
        <f>8.95*1.22</f>
        <v>10.918999999999999</v>
      </c>
    </row>
    <row r="15" spans="1:2" x14ac:dyDescent="0.25">
      <c r="A15" s="40" t="s">
        <v>384</v>
      </c>
      <c r="B15" s="39">
        <f>1.96*1.22</f>
        <v>2.3912</v>
      </c>
    </row>
    <row r="16" spans="1:2" x14ac:dyDescent="0.25">
      <c r="A16" s="40" t="s">
        <v>395</v>
      </c>
      <c r="B16" s="39">
        <f>4.8*1.22</f>
        <v>5.8559999999999999</v>
      </c>
    </row>
    <row r="17" spans="1:2" x14ac:dyDescent="0.25">
      <c r="A17" s="40" t="s">
        <v>340</v>
      </c>
      <c r="B17" s="39">
        <f>34.87*1.22</f>
        <v>42.541399999999996</v>
      </c>
    </row>
    <row r="18" spans="1:2" x14ac:dyDescent="0.25">
      <c r="A18" s="40" t="s">
        <v>385</v>
      </c>
      <c r="B18" s="39">
        <f>0.45*1.22</f>
        <v>0.54900000000000004</v>
      </c>
    </row>
    <row r="19" spans="1:2" x14ac:dyDescent="0.25">
      <c r="A19" s="40" t="s">
        <v>386</v>
      </c>
      <c r="B19" s="39">
        <f>4*1.22</f>
        <v>4.88</v>
      </c>
    </row>
    <row r="20" spans="1:2" x14ac:dyDescent="0.25">
      <c r="A20" s="40" t="s">
        <v>349</v>
      </c>
      <c r="B20" s="39">
        <f>6.08*1.22</f>
        <v>7.4176000000000002</v>
      </c>
    </row>
    <row r="21" spans="1:2" x14ac:dyDescent="0.25">
      <c r="A21" s="40" t="s">
        <v>387</v>
      </c>
      <c r="B21" s="39">
        <f>43.62*1.22</f>
        <v>53.216399999999993</v>
      </c>
    </row>
    <row r="22" spans="1:2" x14ac:dyDescent="0.25">
      <c r="A22" s="40" t="s">
        <v>350</v>
      </c>
      <c r="B22" s="39">
        <f>4.77*1.22</f>
        <v>5.819399999999999</v>
      </c>
    </row>
    <row r="23" spans="1:2" x14ac:dyDescent="0.25">
      <c r="A23" s="40" t="s">
        <v>348</v>
      </c>
      <c r="B23" s="39">
        <f>1.14*1.22</f>
        <v>1.3907999999999998</v>
      </c>
    </row>
    <row r="24" spans="1:2" x14ac:dyDescent="0.25">
      <c r="A24" s="40" t="s">
        <v>351</v>
      </c>
      <c r="B24" s="39">
        <f>13.09*1.22</f>
        <v>15.969799999999999</v>
      </c>
    </row>
    <row r="25" spans="1:2" x14ac:dyDescent="0.25">
      <c r="A25" s="40" t="s">
        <v>388</v>
      </c>
      <c r="B25" s="39">
        <f>112.03*1.22</f>
        <v>136.67660000000001</v>
      </c>
    </row>
    <row r="26" spans="1:2" x14ac:dyDescent="0.25">
      <c r="A26" s="40" t="s">
        <v>352</v>
      </c>
      <c r="B26" s="39">
        <f>8.99*1.22</f>
        <v>10.9678</v>
      </c>
    </row>
    <row r="27" spans="1:2" x14ac:dyDescent="0.25">
      <c r="A27" s="40" t="s">
        <v>389</v>
      </c>
      <c r="B27" s="39">
        <v>21.73</v>
      </c>
    </row>
    <row r="28" spans="1:2" x14ac:dyDescent="0.25">
      <c r="A28" s="40" t="s">
        <v>405</v>
      </c>
      <c r="B28" s="39">
        <v>3.03</v>
      </c>
    </row>
    <row r="29" spans="1:2" x14ac:dyDescent="0.25">
      <c r="A29" s="40" t="s">
        <v>353</v>
      </c>
      <c r="B29" s="39">
        <f>4.24*1.22</f>
        <v>5.1728000000000005</v>
      </c>
    </row>
    <row r="30" spans="1:2" x14ac:dyDescent="0.25">
      <c r="A30" s="40" t="s">
        <v>354</v>
      </c>
      <c r="B30" s="39">
        <f>25.54*1.22</f>
        <v>31.158799999999999</v>
      </c>
    </row>
    <row r="31" spans="1:2" x14ac:dyDescent="0.25">
      <c r="A31" s="40" t="s">
        <v>390</v>
      </c>
      <c r="B31" s="39">
        <f>64.99*1.22</f>
        <v>79.28779999999999</v>
      </c>
    </row>
    <row r="32" spans="1:2" x14ac:dyDescent="0.25">
      <c r="A32" s="40" t="s">
        <v>391</v>
      </c>
      <c r="B32" s="39">
        <f>33.95*1.22</f>
        <v>41.419000000000004</v>
      </c>
    </row>
    <row r="33" spans="1:2" x14ac:dyDescent="0.25">
      <c r="A33" s="40" t="s">
        <v>392</v>
      </c>
      <c r="B33" s="39">
        <f>18.29*1.22</f>
        <v>22.313799999999997</v>
      </c>
    </row>
    <row r="34" spans="1:2" x14ac:dyDescent="0.25">
      <c r="A34" s="40" t="s">
        <v>355</v>
      </c>
      <c r="B34" s="39">
        <f>2.46*1.22</f>
        <v>3.0011999999999999</v>
      </c>
    </row>
    <row r="35" spans="1:2" x14ac:dyDescent="0.25">
      <c r="A35" s="40" t="s">
        <v>356</v>
      </c>
      <c r="B35" s="39">
        <f>7.35*1.22</f>
        <v>8.9669999999999987</v>
      </c>
    </row>
    <row r="36" spans="1:2" x14ac:dyDescent="0.25">
      <c r="A36" s="40" t="s">
        <v>357</v>
      </c>
      <c r="B36" s="39">
        <f>24.24*1.22</f>
        <v>29.572799999999997</v>
      </c>
    </row>
    <row r="37" spans="1:2" x14ac:dyDescent="0.25">
      <c r="A37" s="40" t="s">
        <v>358</v>
      </c>
      <c r="B37" s="39">
        <f>25.22*1.22</f>
        <v>30.768399999999996</v>
      </c>
    </row>
    <row r="38" spans="1:2" x14ac:dyDescent="0.25">
      <c r="A38" s="40" t="s">
        <v>359</v>
      </c>
      <c r="B38" s="39">
        <f>9.19*1.22</f>
        <v>11.211799999999998</v>
      </c>
    </row>
    <row r="39" spans="1:2" x14ac:dyDescent="0.25">
      <c r="A39" s="40" t="s">
        <v>396</v>
      </c>
      <c r="B39" s="39">
        <f>8.95*1.22</f>
        <v>10.918999999999999</v>
      </c>
    </row>
    <row r="40" spans="1:2" x14ac:dyDescent="0.25">
      <c r="A40" s="40" t="s">
        <v>393</v>
      </c>
      <c r="B40" s="39">
        <f>10.98*1.22</f>
        <v>13.3956</v>
      </c>
    </row>
    <row r="41" spans="1:2" x14ac:dyDescent="0.25">
      <c r="A41" s="40" t="s">
        <v>360</v>
      </c>
      <c r="B41" s="39">
        <f>16.97*1.22</f>
        <v>20.703399999999998</v>
      </c>
    </row>
    <row r="42" spans="1:2" x14ac:dyDescent="0.25">
      <c r="A42" s="40" t="s">
        <v>361</v>
      </c>
      <c r="B42" s="39">
        <f>33.1*1.22</f>
        <v>40.381999999999998</v>
      </c>
    </row>
    <row r="43" spans="1:2" x14ac:dyDescent="0.25">
      <c r="A43" s="40" t="s">
        <v>362</v>
      </c>
      <c r="B43" s="39">
        <f>0.45*1.22</f>
        <v>0.54900000000000004</v>
      </c>
    </row>
    <row r="44" spans="1:2" x14ac:dyDescent="0.25">
      <c r="A44" s="40" t="s">
        <v>395</v>
      </c>
      <c r="B44" s="39">
        <f>4.8*1.22</f>
        <v>5.8559999999999999</v>
      </c>
    </row>
    <row r="45" spans="1:2" x14ac:dyDescent="0.25">
      <c r="A45" s="40" t="s">
        <v>396</v>
      </c>
      <c r="B45" s="39">
        <v>8.9499999999999993</v>
      </c>
    </row>
    <row r="46" spans="1:2" x14ac:dyDescent="0.25">
      <c r="A46" s="40" t="s">
        <v>497</v>
      </c>
      <c r="B46" s="39">
        <f>17.53*1.22</f>
        <v>21.386600000000001</v>
      </c>
    </row>
    <row r="47" spans="1:2" x14ac:dyDescent="0.25">
      <c r="A47" s="41" t="s">
        <v>499</v>
      </c>
      <c r="B47" s="36">
        <f>9.21*1.22</f>
        <v>11.2362</v>
      </c>
    </row>
    <row r="48" spans="1:2" x14ac:dyDescent="0.25">
      <c r="A48" s="41" t="s">
        <v>345</v>
      </c>
      <c r="B48" s="36">
        <f>2.14*1.22</f>
        <v>2.6108000000000002</v>
      </c>
    </row>
    <row r="49" spans="1:2" x14ac:dyDescent="0.25">
      <c r="A49" s="41" t="s">
        <v>500</v>
      </c>
      <c r="B49" s="36">
        <f>23*1.22</f>
        <v>28.06</v>
      </c>
    </row>
    <row r="50" spans="1:2" x14ac:dyDescent="0.25">
      <c r="A50" s="41" t="s">
        <v>345</v>
      </c>
      <c r="B50" s="36">
        <v>2.14</v>
      </c>
    </row>
    <row r="51" spans="1:2" x14ac:dyDescent="0.25">
      <c r="A51" s="41" t="s">
        <v>501</v>
      </c>
      <c r="B51" s="36">
        <f>29.59/2</f>
        <v>14.795</v>
      </c>
    </row>
    <row r="52" spans="1:2" x14ac:dyDescent="0.25">
      <c r="A52" s="41" t="s">
        <v>502</v>
      </c>
      <c r="B52" s="36">
        <f>48.015*1.22</f>
        <v>58.578299999999999</v>
      </c>
    </row>
    <row r="53" spans="1:2" x14ac:dyDescent="0.25">
      <c r="A53" s="41" t="s">
        <v>503</v>
      </c>
      <c r="B53" s="36">
        <f>9.45*1.22</f>
        <v>11.528999999999998</v>
      </c>
    </row>
    <row r="54" spans="1:2" x14ac:dyDescent="0.25">
      <c r="A54" s="41" t="s">
        <v>498</v>
      </c>
      <c r="B54" s="36">
        <f>50.77*1.22</f>
        <v>61.939399999999999</v>
      </c>
    </row>
    <row r="55" spans="1:2" x14ac:dyDescent="0.25">
      <c r="A55" s="41" t="s">
        <v>504</v>
      </c>
      <c r="B55" s="36">
        <f>4.69*1.22</f>
        <v>5.7218</v>
      </c>
    </row>
    <row r="56" spans="1:2" x14ac:dyDescent="0.25">
      <c r="A56" s="41" t="s">
        <v>505</v>
      </c>
      <c r="B56" s="36">
        <v>2.4500000000000002</v>
      </c>
    </row>
    <row r="57" spans="1:2" x14ac:dyDescent="0.25">
      <c r="A57" s="41" t="s">
        <v>506</v>
      </c>
      <c r="B57" s="36">
        <f>11.29*1.22</f>
        <v>13.773799999999998</v>
      </c>
    </row>
    <row r="58" spans="1:2" x14ac:dyDescent="0.25">
      <c r="A58" s="41" t="s">
        <v>507</v>
      </c>
      <c r="B58" s="36">
        <v>14.55</v>
      </c>
    </row>
    <row r="59" spans="1:2" x14ac:dyDescent="0.25">
      <c r="A59" s="41" t="s">
        <v>508</v>
      </c>
      <c r="B59" s="36">
        <f>40.68*1.22</f>
        <v>49.629599999999996</v>
      </c>
    </row>
    <row r="60" spans="1:2" x14ac:dyDescent="0.25">
      <c r="A60" s="41" t="s">
        <v>509</v>
      </c>
      <c r="B60" s="36">
        <f>4.19*1.22</f>
        <v>5.1118000000000006</v>
      </c>
    </row>
    <row r="61" spans="1:2" x14ac:dyDescent="0.25">
      <c r="A61" s="41" t="s">
        <v>510</v>
      </c>
      <c r="B61" s="36">
        <f>4.8*1.22</f>
        <v>5.8559999999999999</v>
      </c>
    </row>
    <row r="62" spans="1:2" x14ac:dyDescent="0.25">
      <c r="A62" s="42" t="s">
        <v>519</v>
      </c>
      <c r="B62" s="36">
        <f>135.62*1.22</f>
        <v>165.4564</v>
      </c>
    </row>
    <row r="63" spans="1:2" x14ac:dyDescent="0.25">
      <c r="A63" s="41" t="s">
        <v>526</v>
      </c>
      <c r="B63" s="36">
        <f>7.03*1.22</f>
        <v>8.5766000000000009</v>
      </c>
    </row>
    <row r="64" spans="1:2" x14ac:dyDescent="0.25">
      <c r="A64" s="43" t="s">
        <v>551</v>
      </c>
      <c r="B64" s="36">
        <f>21.8242857142857*1.22</f>
        <v>26.625628571428553</v>
      </c>
    </row>
    <row r="65" spans="1:2" x14ac:dyDescent="0.25">
      <c r="A65" s="43" t="s">
        <v>569</v>
      </c>
      <c r="B65" s="36">
        <f>16.11*1.22</f>
        <v>19.654199999999999</v>
      </c>
    </row>
    <row r="66" spans="1:2" x14ac:dyDescent="0.25">
      <c r="A66" s="43" t="s">
        <v>573</v>
      </c>
      <c r="B66" s="36">
        <f>8.24*1.22</f>
        <v>10.0528</v>
      </c>
    </row>
    <row r="67" spans="1:2" x14ac:dyDescent="0.25">
      <c r="A67" s="41" t="s">
        <v>556</v>
      </c>
      <c r="B67" s="36">
        <f>3.34*1.22</f>
        <v>4.0747999999999998</v>
      </c>
    </row>
    <row r="68" spans="1:2" x14ac:dyDescent="0.25">
      <c r="A68" s="42" t="s">
        <v>598</v>
      </c>
      <c r="B68" s="36">
        <f>3.49*1.22</f>
        <v>4.2578000000000005</v>
      </c>
    </row>
    <row r="69" spans="1:2" x14ac:dyDescent="0.25">
      <c r="A69" s="42" t="s">
        <v>600</v>
      </c>
      <c r="B69" s="36">
        <f>27.96*1.22</f>
        <v>34.111200000000004</v>
      </c>
    </row>
    <row r="70" spans="1:2" x14ac:dyDescent="0.25">
      <c r="A70" s="43" t="s">
        <v>602</v>
      </c>
      <c r="B70" s="36">
        <f>6.44*1.22</f>
        <v>7.8568000000000007</v>
      </c>
    </row>
    <row r="71" spans="1:2" x14ac:dyDescent="0.25">
      <c r="A71" s="41" t="s">
        <v>616</v>
      </c>
      <c r="B71" s="36">
        <f>147.44*1.22</f>
        <v>179.8768</v>
      </c>
    </row>
    <row r="72" spans="1:2" x14ac:dyDescent="0.25">
      <c r="A72" s="42" t="s">
        <v>618</v>
      </c>
      <c r="B72" s="36">
        <f>(186.24*1.22)/3</f>
        <v>75.7376</v>
      </c>
    </row>
    <row r="73" spans="1:2" x14ac:dyDescent="0.25">
      <c r="A73" s="24" t="s">
        <v>627</v>
      </c>
      <c r="B73">
        <f>44.85*1.22</f>
        <v>54.716999999999999</v>
      </c>
    </row>
    <row r="74" spans="1:2" x14ac:dyDescent="0.25">
      <c r="A74" s="57" t="s">
        <v>653</v>
      </c>
      <c r="B74">
        <f>24.25*1.22</f>
        <v>29.585000000000001</v>
      </c>
    </row>
    <row r="75" spans="1:2" x14ac:dyDescent="0.25">
      <c r="A75" s="63" t="s">
        <v>655</v>
      </c>
      <c r="B75">
        <f>10.18*1.22</f>
        <v>12.419599999999999</v>
      </c>
    </row>
    <row r="76" spans="1:2" x14ac:dyDescent="0.25">
      <c r="A76" s="57" t="s">
        <v>634</v>
      </c>
      <c r="B76">
        <f>12.61*1.22</f>
        <v>15.384199999999998</v>
      </c>
    </row>
    <row r="77" spans="1:2" x14ac:dyDescent="0.25">
      <c r="A77" s="57" t="s">
        <v>713</v>
      </c>
      <c r="B77">
        <f>14.55*1.22</f>
        <v>17.751000000000001</v>
      </c>
    </row>
    <row r="78" spans="1:2" x14ac:dyDescent="0.25">
      <c r="A78" t="s">
        <v>707</v>
      </c>
      <c r="B78">
        <f>24.25*1.22</f>
        <v>29.585000000000001</v>
      </c>
    </row>
    <row r="79" spans="1:2" x14ac:dyDescent="0.25">
      <c r="A79" t="s">
        <v>708</v>
      </c>
      <c r="B79">
        <f>15.52*1.22</f>
        <v>18.9344</v>
      </c>
    </row>
    <row r="80" spans="1:2" x14ac:dyDescent="0.25">
      <c r="A80" t="s">
        <v>709</v>
      </c>
      <c r="B80">
        <f>29.1*1.22</f>
        <v>35.502000000000002</v>
      </c>
    </row>
    <row r="81" spans="1:2" x14ac:dyDescent="0.25">
      <c r="A81" t="s">
        <v>710</v>
      </c>
      <c r="B81">
        <f>38*1.22</f>
        <v>46.36</v>
      </c>
    </row>
    <row r="82" spans="1:2" x14ac:dyDescent="0.25">
      <c r="A82" t="s">
        <v>711</v>
      </c>
      <c r="B82">
        <f>29.1*1.22</f>
        <v>35.502000000000002</v>
      </c>
    </row>
    <row r="83" spans="1:2" x14ac:dyDescent="0.25">
      <c r="A83" t="s">
        <v>712</v>
      </c>
      <c r="B83">
        <f>7.03*1.22</f>
        <v>8.5766000000000009</v>
      </c>
    </row>
    <row r="84" spans="1:2" x14ac:dyDescent="0.25">
      <c r="A84" t="s">
        <v>728</v>
      </c>
      <c r="B84">
        <f>4.66*1.22</f>
        <v>5.6852</v>
      </c>
    </row>
    <row r="85" spans="1:2" x14ac:dyDescent="0.25">
      <c r="A85" t="s">
        <v>730</v>
      </c>
      <c r="B85">
        <f>4.54*1.22</f>
        <v>5.5388000000000002</v>
      </c>
    </row>
    <row r="86" spans="1:2" x14ac:dyDescent="0.25">
      <c r="A86" t="s">
        <v>732</v>
      </c>
      <c r="B86">
        <f>6.43*1.22</f>
        <v>7.8445999999999998</v>
      </c>
    </row>
    <row r="87" spans="1:2" x14ac:dyDescent="0.25">
      <c r="A87" s="49" t="s">
        <v>735</v>
      </c>
      <c r="B87">
        <f>27.16*1.22</f>
        <v>33.135199999999998</v>
      </c>
    </row>
    <row r="88" spans="1:2" x14ac:dyDescent="0.25">
      <c r="A88" s="49" t="s">
        <v>802</v>
      </c>
      <c r="B88">
        <f>30.21*1.22</f>
        <v>36.856200000000001</v>
      </c>
    </row>
    <row r="89" spans="1:2" x14ac:dyDescent="0.25">
      <c r="A89" s="57" t="s">
        <v>805</v>
      </c>
      <c r="B89">
        <v>4</v>
      </c>
    </row>
    <row r="90" spans="1:2" x14ac:dyDescent="0.25">
      <c r="A90" s="57" t="s">
        <v>808</v>
      </c>
      <c r="B90">
        <f>4.93*1.22</f>
        <v>6.0145999999999997</v>
      </c>
    </row>
    <row r="91" spans="1:2" x14ac:dyDescent="0.25">
      <c r="A91" s="57" t="s">
        <v>796</v>
      </c>
      <c r="B91">
        <f>3.58*1.22</f>
        <v>4.3676000000000004</v>
      </c>
    </row>
    <row r="92" spans="1:2" x14ac:dyDescent="0.25">
      <c r="A92" s="57" t="s">
        <v>797</v>
      </c>
      <c r="B92">
        <v>20.7</v>
      </c>
    </row>
    <row r="93" spans="1:2" x14ac:dyDescent="0.25">
      <c r="A93" s="57" t="s">
        <v>798</v>
      </c>
      <c r="B93">
        <f>6.32*1.22</f>
        <v>7.7103999999999999</v>
      </c>
    </row>
    <row r="94" spans="1:2" x14ac:dyDescent="0.25">
      <c r="A94" s="49" t="s">
        <v>799</v>
      </c>
      <c r="B94">
        <f>22.98*1.22</f>
        <v>28.035599999999999</v>
      </c>
    </row>
    <row r="95" spans="1:2" x14ac:dyDescent="0.25">
      <c r="A95" s="49" t="s">
        <v>800</v>
      </c>
      <c r="B95">
        <v>29.59</v>
      </c>
    </row>
  </sheetData>
  <phoneticPr fontId="8" type="noConversion"/>
  <dataValidations count="1">
    <dataValidation allowBlank="1" showInputMessage="1" sqref="A2" xr:uid="{DB58251F-81D3-4FE1-B56F-26469CAA340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C1BBA6A1-4E23-40DC-A324-6FDBCFC580C3}">
          <x14:formula1>
            <xm:f>'Prodotti Magazzino'!$A$2:$A$39</xm:f>
          </x14:formula1>
          <xm:sqref>A3 A13:A15 A20 A25 A28 A30 A35 A40 A43</xm:sqref>
        </x14:dataValidation>
        <x14:dataValidation type="list" allowBlank="1" showInputMessage="1" xr:uid="{45DE3DED-181D-4FE4-A72E-3BBFAC0B641D}">
          <x14:formula1>
            <xm:f>'Prodotti Magazzino'!$A$2:$A$1000</xm:f>
          </x14:formula1>
          <xm:sqref>A47:A50 A52:A58 A60 A62 A74:A75 A78:A81 A83 A88:A91 A93:A95</xm:sqref>
        </x14:dataValidation>
        <x14:dataValidation type="list" allowBlank="1" showInputMessage="1" xr:uid="{EB5080DF-53DC-4281-8759-761C0FA1A998}">
          <x14:formula1>
            <xm:f>'Prodotti Magazzino'!$A$2:$A$4000</xm:f>
          </x14:formula1>
          <xm:sqref>A64:A66 A68:A70 A72:A73 A76:A77 A87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D2D46-9C67-4D4B-83EC-E0F5C9BA66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DASBOARD</vt:lpstr>
      <vt:lpstr>Ordini</vt:lpstr>
      <vt:lpstr>Prodotti Magazzino</vt:lpstr>
      <vt:lpstr>Colonne dati</vt:lpstr>
      <vt:lpstr>Carichi</vt:lpstr>
      <vt:lpstr>Logistica</vt:lpstr>
      <vt:lpstr>Prodotti drop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PROCACCINI</dc:creator>
  <cp:lastModifiedBy>ENRICO PROCACCINI</cp:lastModifiedBy>
  <dcterms:created xsi:type="dcterms:W3CDTF">2015-06-05T18:19:34Z</dcterms:created>
  <dcterms:modified xsi:type="dcterms:W3CDTF">2026-06-29T16:03:52Z</dcterms:modified>
</cp:coreProperties>
</file>